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natorn.jo/Downloads/"/>
    </mc:Choice>
  </mc:AlternateContent>
  <xr:revisionPtr revIDLastSave="0" documentId="13_ncr:1_{5C1FC1A0-DED3-244E-9325-591E0D959E2D}" xr6:coauthVersionLast="47" xr6:coauthVersionMax="47" xr10:uidLastSave="{00000000-0000-0000-0000-000000000000}"/>
  <bookViews>
    <workbookView xWindow="0" yWindow="660" windowWidth="29400" windowHeight="16660" activeTab="5" xr2:uid="{29636C36-E50A-D942-B6E2-C716831EBAE8}"/>
  </bookViews>
  <sheets>
    <sheet name="Demand_and_Case_Mix" sheetId="1" r:id="rId1"/>
    <sheet name="Staffing_Summary" sheetId="4" r:id="rId2"/>
    <sheet name="CAPEX_Summary" sheetId="2" r:id="rId3"/>
    <sheet name="Financial_Model" sheetId="5" r:id="rId4"/>
    <sheet name="Sheet1" sheetId="7" r:id="rId5"/>
    <sheet name="Balance_Sheet" sheetId="6" r:id="rId6"/>
    <sheet name="Space_Program" sheetId="3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G25" i="1" s="1"/>
  <c r="C19" i="1"/>
  <c r="D9" i="1"/>
  <c r="D10" i="1" s="1"/>
  <c r="F23" i="1" l="1"/>
  <c r="G23" i="1"/>
  <c r="F24" i="1"/>
  <c r="F25" i="1"/>
  <c r="G24" i="1"/>
  <c r="G8" i="5" l="1"/>
  <c r="C19" i="6"/>
  <c r="D19" i="6" s="1"/>
  <c r="E19" i="6" s="1"/>
  <c r="F19" i="6" s="1"/>
  <c r="G19" i="6" s="1"/>
  <c r="H19" i="6" s="1"/>
  <c r="I19" i="6" s="1"/>
  <c r="Q18" i="6"/>
  <c r="P18" i="6"/>
  <c r="O18" i="6"/>
  <c r="N18" i="6"/>
  <c r="M18" i="6"/>
  <c r="L18" i="6"/>
  <c r="K18" i="6"/>
  <c r="J18" i="6"/>
  <c r="I18" i="6"/>
  <c r="H18" i="6"/>
  <c r="H20" i="6" s="1"/>
  <c r="G18" i="6"/>
  <c r="F18" i="6"/>
  <c r="E18" i="6"/>
  <c r="D18" i="6"/>
  <c r="C18" i="6"/>
  <c r="C20" i="6" s="1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C8" i="6"/>
  <c r="D8" i="6" s="1"/>
  <c r="E8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C7" i="6"/>
  <c r="D7" i="6" s="1"/>
  <c r="C6" i="6"/>
  <c r="D6" i="6" s="1"/>
  <c r="L8" i="5"/>
  <c r="M8" i="5"/>
  <c r="P8" i="5"/>
  <c r="Q8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Q142" i="5"/>
  <c r="Q144" i="5" s="1"/>
  <c r="P142" i="5"/>
  <c r="P144" i="5" s="1"/>
  <c r="O142" i="5"/>
  <c r="O144" i="5" s="1"/>
  <c r="N142" i="5"/>
  <c r="N144" i="5" s="1"/>
  <c r="M142" i="5"/>
  <c r="M144" i="5" s="1"/>
  <c r="L142" i="5"/>
  <c r="L144" i="5" s="1"/>
  <c r="K142" i="5"/>
  <c r="K144" i="5" s="1"/>
  <c r="J142" i="5"/>
  <c r="J144" i="5" s="1"/>
  <c r="I142" i="5"/>
  <c r="I144" i="5" s="1"/>
  <c r="H142" i="5"/>
  <c r="H144" i="5" s="1"/>
  <c r="G142" i="5"/>
  <c r="G144" i="5" s="1"/>
  <c r="F142" i="5"/>
  <c r="F144" i="5" s="1"/>
  <c r="E142" i="5"/>
  <c r="E144" i="5" s="1"/>
  <c r="D142" i="5"/>
  <c r="D144" i="5" s="1"/>
  <c r="C142" i="5"/>
  <c r="C144" i="5" s="1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C123" i="5"/>
  <c r="F118" i="5"/>
  <c r="C118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Q108" i="5"/>
  <c r="P108" i="5"/>
  <c r="O108" i="5"/>
  <c r="N108" i="5"/>
  <c r="M108" i="5"/>
  <c r="L108" i="5"/>
  <c r="K108" i="5"/>
  <c r="J108" i="5"/>
  <c r="I108" i="5"/>
  <c r="H108" i="5"/>
  <c r="G108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Q71" i="5"/>
  <c r="Q73" i="5" s="1"/>
  <c r="P71" i="5"/>
  <c r="P73" i="5" s="1"/>
  <c r="O71" i="5"/>
  <c r="O73" i="5" s="1"/>
  <c r="N71" i="5"/>
  <c r="N73" i="5" s="1"/>
  <c r="M71" i="5"/>
  <c r="M73" i="5" s="1"/>
  <c r="L71" i="5"/>
  <c r="L73" i="5" s="1"/>
  <c r="K71" i="5"/>
  <c r="K73" i="5" s="1"/>
  <c r="J71" i="5"/>
  <c r="J73" i="5" s="1"/>
  <c r="I71" i="5"/>
  <c r="I73" i="5" s="1"/>
  <c r="H71" i="5"/>
  <c r="H73" i="5" s="1"/>
  <c r="G71" i="5"/>
  <c r="G73" i="5" s="1"/>
  <c r="F71" i="5"/>
  <c r="F73" i="5" s="1"/>
  <c r="E71" i="5"/>
  <c r="E73" i="5" s="1"/>
  <c r="D71" i="5"/>
  <c r="D73" i="5" s="1"/>
  <c r="C71" i="5"/>
  <c r="C73" i="5" s="1"/>
  <c r="Q68" i="5"/>
  <c r="Q70" i="5" s="1"/>
  <c r="P68" i="5"/>
  <c r="P70" i="5" s="1"/>
  <c r="O68" i="5"/>
  <c r="O70" i="5" s="1"/>
  <c r="N68" i="5"/>
  <c r="N70" i="5" s="1"/>
  <c r="M68" i="5"/>
  <c r="M70" i="5" s="1"/>
  <c r="L68" i="5"/>
  <c r="L70" i="5" s="1"/>
  <c r="K68" i="5"/>
  <c r="K70" i="5" s="1"/>
  <c r="J68" i="5"/>
  <c r="J70" i="5" s="1"/>
  <c r="I68" i="5"/>
  <c r="I70" i="5" s="1"/>
  <c r="H68" i="5"/>
  <c r="H70" i="5" s="1"/>
  <c r="G68" i="5"/>
  <c r="G70" i="5" s="1"/>
  <c r="F68" i="5"/>
  <c r="F70" i="5" s="1"/>
  <c r="E68" i="5"/>
  <c r="E70" i="5" s="1"/>
  <c r="D68" i="5"/>
  <c r="D70" i="5" s="1"/>
  <c r="C68" i="5"/>
  <c r="C70" i="5" s="1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C11" i="5"/>
  <c r="O8" i="5"/>
  <c r="N8" i="5"/>
  <c r="K8" i="5"/>
  <c r="J8" i="5"/>
  <c r="I8" i="5"/>
  <c r="H8" i="5"/>
  <c r="F8" i="5"/>
  <c r="E8" i="5"/>
  <c r="D8" i="5"/>
  <c r="C8" i="5"/>
  <c r="F50" i="4"/>
  <c r="F52" i="4"/>
  <c r="F53" i="4"/>
  <c r="F54" i="4"/>
  <c r="F55" i="4"/>
  <c r="F49" i="4"/>
  <c r="F36" i="4"/>
  <c r="F37" i="4"/>
  <c r="F38" i="4"/>
  <c r="F39" i="4"/>
  <c r="F40" i="4"/>
  <c r="F41" i="4"/>
  <c r="F42" i="4"/>
  <c r="F43" i="4"/>
  <c r="F44" i="4"/>
  <c r="F35" i="4"/>
  <c r="E45" i="4"/>
  <c r="E9" i="4" s="1"/>
  <c r="E31" i="4" s="1"/>
  <c r="D56" i="4"/>
  <c r="D8" i="4" s="1"/>
  <c r="C56" i="4"/>
  <c r="C8" i="4" s="1"/>
  <c r="E51" i="4"/>
  <c r="F51" i="4" s="1"/>
  <c r="D45" i="4"/>
  <c r="D9" i="4" s="1"/>
  <c r="C45" i="4"/>
  <c r="C9" i="4" s="1"/>
  <c r="E108" i="2"/>
  <c r="E100" i="2"/>
  <c r="E92" i="2"/>
  <c r="E82" i="2"/>
  <c r="E90" i="2"/>
  <c r="E77" i="2"/>
  <c r="E69" i="2"/>
  <c r="E61" i="2"/>
  <c r="E54" i="2"/>
  <c r="E41" i="2"/>
  <c r="E29" i="2"/>
  <c r="F124" i="2"/>
  <c r="F123" i="2"/>
  <c r="F122" i="2"/>
  <c r="F121" i="2"/>
  <c r="E113" i="2"/>
  <c r="E106" i="2"/>
  <c r="E115" i="2" s="1"/>
  <c r="E19" i="2"/>
  <c r="E18" i="2"/>
  <c r="E17" i="2"/>
  <c r="E14" i="2"/>
  <c r="E12" i="2"/>
  <c r="D8" i="2"/>
  <c r="D9" i="2" s="1"/>
  <c r="C8" i="2"/>
  <c r="C9" i="2" s="1"/>
  <c r="E7" i="2"/>
  <c r="E6" i="2"/>
  <c r="E5" i="2"/>
  <c r="E4" i="2"/>
  <c r="D20" i="6" l="1"/>
  <c r="E20" i="6"/>
  <c r="F20" i="6"/>
  <c r="E6" i="6"/>
  <c r="E7" i="6"/>
  <c r="D9" i="6"/>
  <c r="D11" i="6" s="1"/>
  <c r="D22" i="6" s="1"/>
  <c r="G20" i="6"/>
  <c r="J19" i="6"/>
  <c r="K19" i="6" s="1"/>
  <c r="L19" i="6" s="1"/>
  <c r="M19" i="6" s="1"/>
  <c r="N19" i="6" s="1"/>
  <c r="O19" i="6" s="1"/>
  <c r="P19" i="6" s="1"/>
  <c r="Q19" i="6" s="1"/>
  <c r="Q20" i="6" s="1"/>
  <c r="I20" i="6"/>
  <c r="C9" i="6"/>
  <c r="C11" i="6" s="1"/>
  <c r="C22" i="6" s="1"/>
  <c r="Q12" i="5"/>
  <c r="Q13" i="5" s="1"/>
  <c r="Q26" i="5" s="1"/>
  <c r="L76" i="5"/>
  <c r="P12" i="5"/>
  <c r="N76" i="5"/>
  <c r="N12" i="5"/>
  <c r="N13" i="5" s="1"/>
  <c r="N26" i="5" s="1"/>
  <c r="G12" i="5"/>
  <c r="G13" i="5" s="1"/>
  <c r="G26" i="5" s="1"/>
  <c r="D76" i="5"/>
  <c r="C76" i="5"/>
  <c r="G146" i="5"/>
  <c r="J76" i="5"/>
  <c r="Q146" i="5"/>
  <c r="I76" i="5"/>
  <c r="D146" i="5"/>
  <c r="N146" i="5"/>
  <c r="F76" i="5"/>
  <c r="E76" i="5"/>
  <c r="O76" i="5"/>
  <c r="P76" i="5"/>
  <c r="J146" i="5"/>
  <c r="M76" i="5"/>
  <c r="I146" i="5"/>
  <c r="E12" i="5"/>
  <c r="E13" i="5" s="1"/>
  <c r="O12" i="5"/>
  <c r="O13" i="5" s="1"/>
  <c r="O26" i="5" s="1"/>
  <c r="K146" i="5"/>
  <c r="P146" i="5"/>
  <c r="H146" i="5"/>
  <c r="P13" i="5"/>
  <c r="P26" i="5" s="1"/>
  <c r="P88" i="5" s="1"/>
  <c r="P101" i="5" s="1"/>
  <c r="G76" i="5"/>
  <c r="L146" i="5"/>
  <c r="H76" i="5"/>
  <c r="C146" i="5"/>
  <c r="M146" i="5"/>
  <c r="Q76" i="5"/>
  <c r="H12" i="5"/>
  <c r="H13" i="5" s="1"/>
  <c r="H26" i="5" s="1"/>
  <c r="L12" i="5"/>
  <c r="L13" i="5" s="1"/>
  <c r="L26" i="5" s="1"/>
  <c r="E146" i="5"/>
  <c r="O146" i="5"/>
  <c r="M12" i="5"/>
  <c r="M13" i="5" s="1"/>
  <c r="M26" i="5" s="1"/>
  <c r="F146" i="5"/>
  <c r="J12" i="5"/>
  <c r="J13" i="5" s="1"/>
  <c r="J26" i="5" s="1"/>
  <c r="I12" i="5"/>
  <c r="I13" i="5" s="1"/>
  <c r="I26" i="5" s="1"/>
  <c r="K12" i="5"/>
  <c r="F12" i="5"/>
  <c r="F13" i="5" s="1"/>
  <c r="F26" i="5" s="1"/>
  <c r="K76" i="5"/>
  <c r="C12" i="5"/>
  <c r="D12" i="5"/>
  <c r="F45" i="4"/>
  <c r="D10" i="4"/>
  <c r="E16" i="4" s="1"/>
  <c r="C10" i="4"/>
  <c r="E15" i="4" s="1"/>
  <c r="E56" i="4"/>
  <c r="E8" i="4" s="1"/>
  <c r="E30" i="4" s="1"/>
  <c r="F56" i="4"/>
  <c r="F8" i="4" s="1"/>
  <c r="F30" i="4" s="1"/>
  <c r="E97" i="2"/>
  <c r="E116" i="2"/>
  <c r="F125" i="2"/>
  <c r="C10" i="2" s="1"/>
  <c r="C15" i="2" s="1"/>
  <c r="C20" i="2" s="1"/>
  <c r="E8" i="2"/>
  <c r="E9" i="2"/>
  <c r="E126" i="2" s="1"/>
  <c r="D10" i="2" l="1"/>
  <c r="P25" i="5"/>
  <c r="P36" i="5" s="1"/>
  <c r="Q25" i="5"/>
  <c r="Q36" i="5" s="1"/>
  <c r="J20" i="6"/>
  <c r="P20" i="6"/>
  <c r="K20" i="6"/>
  <c r="M20" i="6"/>
  <c r="E9" i="6"/>
  <c r="E11" i="6" s="1"/>
  <c r="E22" i="6" s="1"/>
  <c r="F7" i="6"/>
  <c r="O20" i="6"/>
  <c r="N20" i="6"/>
  <c r="F6" i="6"/>
  <c r="L20" i="6"/>
  <c r="E26" i="5"/>
  <c r="E37" i="5" s="1"/>
  <c r="E25" i="5"/>
  <c r="E36" i="5" s="1"/>
  <c r="O25" i="5"/>
  <c r="O36" i="5" s="1"/>
  <c r="E24" i="5"/>
  <c r="E35" i="5" s="1"/>
  <c r="O24" i="5"/>
  <c r="O35" i="5" s="1"/>
  <c r="P37" i="5"/>
  <c r="N24" i="5"/>
  <c r="P24" i="5"/>
  <c r="P35" i="5" s="1"/>
  <c r="N88" i="5"/>
  <c r="N101" i="5" s="1"/>
  <c r="N37" i="5"/>
  <c r="O37" i="5"/>
  <c r="O88" i="5"/>
  <c r="O101" i="5" s="1"/>
  <c r="F88" i="5"/>
  <c r="F101" i="5" s="1"/>
  <c r="F37" i="5"/>
  <c r="N25" i="5"/>
  <c r="N36" i="5" s="1"/>
  <c r="Q88" i="5"/>
  <c r="Q101" i="5" s="1"/>
  <c r="Q37" i="5"/>
  <c r="L25" i="5"/>
  <c r="L36" i="5" s="1"/>
  <c r="L24" i="5"/>
  <c r="J25" i="5"/>
  <c r="J36" i="5" s="1"/>
  <c r="J24" i="5"/>
  <c r="H37" i="5"/>
  <c r="H88" i="5"/>
  <c r="H101" i="5" s="1"/>
  <c r="C13" i="5"/>
  <c r="C26" i="5" s="1"/>
  <c r="I25" i="5"/>
  <c r="I36" i="5" s="1"/>
  <c r="I24" i="5"/>
  <c r="M24" i="5"/>
  <c r="M25" i="5"/>
  <c r="M36" i="5" s="1"/>
  <c r="H25" i="5"/>
  <c r="H36" i="5" s="1"/>
  <c r="H24" i="5"/>
  <c r="G24" i="5"/>
  <c r="D13" i="5"/>
  <c r="D26" i="5" s="1"/>
  <c r="D25" i="5"/>
  <c r="D36" i="5" s="1"/>
  <c r="L37" i="5"/>
  <c r="L88" i="5"/>
  <c r="L101" i="5" s="1"/>
  <c r="F24" i="5"/>
  <c r="F25" i="5"/>
  <c r="F36" i="5" s="1"/>
  <c r="J88" i="5"/>
  <c r="J101" i="5" s="1"/>
  <c r="J37" i="5"/>
  <c r="I88" i="5"/>
  <c r="I101" i="5" s="1"/>
  <c r="I37" i="5"/>
  <c r="K13" i="5"/>
  <c r="K26" i="5" s="1"/>
  <c r="M88" i="5"/>
  <c r="M101" i="5" s="1"/>
  <c r="M37" i="5"/>
  <c r="G88" i="5"/>
  <c r="G101" i="5" s="1"/>
  <c r="G37" i="5"/>
  <c r="G25" i="5"/>
  <c r="G36" i="5" s="1"/>
  <c r="Q24" i="5"/>
  <c r="E10" i="4"/>
  <c r="F9" i="4"/>
  <c r="D15" i="2"/>
  <c r="D20" i="2" s="1"/>
  <c r="E10" i="2"/>
  <c r="E15" i="2" s="1"/>
  <c r="E88" i="5" l="1"/>
  <c r="E101" i="5" s="1"/>
  <c r="P38" i="5"/>
  <c r="O27" i="5"/>
  <c r="E27" i="5"/>
  <c r="G6" i="6"/>
  <c r="F9" i="6"/>
  <c r="F11" i="6" s="1"/>
  <c r="F22" i="6" s="1"/>
  <c r="G7" i="6"/>
  <c r="E38" i="5"/>
  <c r="E59" i="5" s="1"/>
  <c r="P27" i="5"/>
  <c r="N27" i="5"/>
  <c r="N35" i="5"/>
  <c r="N38" i="5" s="1"/>
  <c r="N59" i="5" s="1"/>
  <c r="C25" i="5"/>
  <c r="C36" i="5" s="1"/>
  <c r="C24" i="5"/>
  <c r="C35" i="5" s="1"/>
  <c r="O38" i="5"/>
  <c r="O59" i="5" s="1"/>
  <c r="G35" i="5"/>
  <c r="G38" i="5" s="1"/>
  <c r="G27" i="5"/>
  <c r="J27" i="5"/>
  <c r="J35" i="5"/>
  <c r="J38" i="5" s="1"/>
  <c r="L27" i="5"/>
  <c r="L35" i="5"/>
  <c r="L38" i="5" s="1"/>
  <c r="C88" i="5"/>
  <c r="C101" i="5" s="1"/>
  <c r="C37" i="5"/>
  <c r="H27" i="5"/>
  <c r="H35" i="5"/>
  <c r="H38" i="5" s="1"/>
  <c r="F35" i="5"/>
  <c r="F38" i="5" s="1"/>
  <c r="F27" i="5"/>
  <c r="Q35" i="5"/>
  <c r="Q38" i="5" s="1"/>
  <c r="Q27" i="5"/>
  <c r="K88" i="5"/>
  <c r="K101" i="5" s="1"/>
  <c r="K37" i="5"/>
  <c r="M35" i="5"/>
  <c r="M38" i="5" s="1"/>
  <c r="M27" i="5"/>
  <c r="K24" i="5"/>
  <c r="I27" i="5"/>
  <c r="I35" i="5"/>
  <c r="I38" i="5" s="1"/>
  <c r="P59" i="5"/>
  <c r="P51" i="5"/>
  <c r="P42" i="5"/>
  <c r="P44" i="5" s="1"/>
  <c r="P45" i="5" s="1"/>
  <c r="P46" i="5" s="1"/>
  <c r="P53" i="5"/>
  <c r="P65" i="5"/>
  <c r="P61" i="5"/>
  <c r="K25" i="5"/>
  <c r="K36" i="5" s="1"/>
  <c r="D88" i="5"/>
  <c r="D101" i="5" s="1"/>
  <c r="D37" i="5"/>
  <c r="D24" i="5"/>
  <c r="F10" i="4"/>
  <c r="F31" i="4"/>
  <c r="E23" i="2"/>
  <c r="E24" i="2"/>
  <c r="E20" i="2"/>
  <c r="E25" i="2" s="1"/>
  <c r="E61" i="5" l="1"/>
  <c r="E53" i="5"/>
  <c r="E42" i="5"/>
  <c r="E44" i="5" s="1"/>
  <c r="E45" i="5" s="1"/>
  <c r="E46" i="5" s="1"/>
  <c r="E65" i="5"/>
  <c r="E51" i="5"/>
  <c r="E104" i="5" s="1"/>
  <c r="E109" i="5" s="1"/>
  <c r="H7" i="6"/>
  <c r="G9" i="6"/>
  <c r="G11" i="6" s="1"/>
  <c r="G22" i="6" s="1"/>
  <c r="H6" i="6"/>
  <c r="C27" i="5"/>
  <c r="N53" i="5"/>
  <c r="N61" i="5"/>
  <c r="N65" i="5"/>
  <c r="N42" i="5"/>
  <c r="N44" i="5" s="1"/>
  <c r="N45" i="5" s="1"/>
  <c r="N46" i="5" s="1"/>
  <c r="N51" i="5"/>
  <c r="O53" i="5"/>
  <c r="O42" i="5"/>
  <c r="O44" i="5" s="1"/>
  <c r="O45" i="5" s="1"/>
  <c r="O46" i="5" s="1"/>
  <c r="O61" i="5"/>
  <c r="O65" i="5"/>
  <c r="O51" i="5"/>
  <c r="P104" i="5"/>
  <c r="P109" i="5" s="1"/>
  <c r="C38" i="5"/>
  <c r="C65" i="5" s="1"/>
  <c r="F59" i="5"/>
  <c r="F51" i="5"/>
  <c r="F42" i="5"/>
  <c r="F44" i="5" s="1"/>
  <c r="F45" i="5" s="1"/>
  <c r="F46" i="5" s="1"/>
  <c r="F61" i="5"/>
  <c r="F53" i="5"/>
  <c r="F65" i="5"/>
  <c r="D35" i="5"/>
  <c r="D38" i="5" s="1"/>
  <c r="D27" i="5"/>
  <c r="C127" i="5"/>
  <c r="Q65" i="5"/>
  <c r="Q51" i="5"/>
  <c r="Q42" i="5"/>
  <c r="Q44" i="5" s="1"/>
  <c r="Q45" i="5" s="1"/>
  <c r="Q53" i="5"/>
  <c r="Q61" i="5"/>
  <c r="Q59" i="5"/>
  <c r="H65" i="5"/>
  <c r="H61" i="5"/>
  <c r="H53" i="5"/>
  <c r="H51" i="5"/>
  <c r="H42" i="5"/>
  <c r="H44" i="5" s="1"/>
  <c r="H45" i="5" s="1"/>
  <c r="H46" i="5" s="1"/>
  <c r="H59" i="5"/>
  <c r="I65" i="5"/>
  <c r="I61" i="5"/>
  <c r="I53" i="5"/>
  <c r="I59" i="5"/>
  <c r="I51" i="5"/>
  <c r="I42" i="5"/>
  <c r="I44" i="5" s="1"/>
  <c r="I45" i="5" s="1"/>
  <c r="I46" i="5" s="1"/>
  <c r="L59" i="5"/>
  <c r="L61" i="5"/>
  <c r="L65" i="5"/>
  <c r="L53" i="5"/>
  <c r="L51" i="5"/>
  <c r="L42" i="5"/>
  <c r="L44" i="5" s="1"/>
  <c r="L45" i="5" s="1"/>
  <c r="L46" i="5" s="1"/>
  <c r="J53" i="5"/>
  <c r="J65" i="5"/>
  <c r="J61" i="5"/>
  <c r="J59" i="5"/>
  <c r="J51" i="5"/>
  <c r="J42" i="5"/>
  <c r="J44" i="5" s="1"/>
  <c r="J45" i="5" s="1"/>
  <c r="J46" i="5" s="1"/>
  <c r="K27" i="5"/>
  <c r="K35" i="5"/>
  <c r="K38" i="5" s="1"/>
  <c r="M59" i="5"/>
  <c r="M51" i="5"/>
  <c r="M42" i="5"/>
  <c r="M44" i="5" s="1"/>
  <c r="M45" i="5" s="1"/>
  <c r="M46" i="5" s="1"/>
  <c r="M61" i="5"/>
  <c r="M53" i="5"/>
  <c r="M65" i="5"/>
  <c r="G59" i="5"/>
  <c r="G65" i="5"/>
  <c r="G51" i="5"/>
  <c r="G61" i="5"/>
  <c r="G53" i="5"/>
  <c r="G42" i="5"/>
  <c r="G44" i="5" s="1"/>
  <c r="G45" i="5" s="1"/>
  <c r="G46" i="5" s="1"/>
  <c r="N104" i="5" l="1"/>
  <c r="N105" i="5" s="1"/>
  <c r="I6" i="6"/>
  <c r="H9" i="6"/>
  <c r="H11" i="6" s="1"/>
  <c r="H22" i="6" s="1"/>
  <c r="I7" i="6"/>
  <c r="C51" i="5"/>
  <c r="C42" i="5"/>
  <c r="C44" i="5" s="1"/>
  <c r="C45" i="5" s="1"/>
  <c r="C46" i="5" s="1"/>
  <c r="E105" i="5"/>
  <c r="C59" i="5"/>
  <c r="N109" i="5"/>
  <c r="N111" i="5" s="1"/>
  <c r="N112" i="5" s="1"/>
  <c r="N113" i="5" s="1"/>
  <c r="N119" i="5" s="1"/>
  <c r="P105" i="5"/>
  <c r="C61" i="5"/>
  <c r="O104" i="5"/>
  <c r="C53" i="5"/>
  <c r="L104" i="5"/>
  <c r="L105" i="5" s="1"/>
  <c r="I104" i="5"/>
  <c r="I105" i="5" s="1"/>
  <c r="M104" i="5"/>
  <c r="M109" i="5" s="1"/>
  <c r="G104" i="5"/>
  <c r="G109" i="5" s="1"/>
  <c r="Q104" i="5"/>
  <c r="Q109" i="5" s="1"/>
  <c r="H104" i="5"/>
  <c r="H105" i="5" s="1"/>
  <c r="J104" i="5"/>
  <c r="J105" i="5" s="1"/>
  <c r="F104" i="5"/>
  <c r="F109" i="5" s="1"/>
  <c r="C129" i="5"/>
  <c r="Q46" i="5"/>
  <c r="C130" i="5" s="1"/>
  <c r="K65" i="5"/>
  <c r="K61" i="5"/>
  <c r="K53" i="5"/>
  <c r="K51" i="5"/>
  <c r="K42" i="5"/>
  <c r="K44" i="5" s="1"/>
  <c r="K45" i="5" s="1"/>
  <c r="K46" i="5" s="1"/>
  <c r="K59" i="5"/>
  <c r="P111" i="5"/>
  <c r="P112" i="5" s="1"/>
  <c r="P113" i="5" s="1"/>
  <c r="P119" i="5" s="1"/>
  <c r="E111" i="5"/>
  <c r="E112" i="5" s="1"/>
  <c r="E113" i="5" s="1"/>
  <c r="E119" i="5" s="1"/>
  <c r="D59" i="5"/>
  <c r="D51" i="5"/>
  <c r="D42" i="5"/>
  <c r="D44" i="5" s="1"/>
  <c r="D45" i="5" s="1"/>
  <c r="D46" i="5" s="1"/>
  <c r="D65" i="5"/>
  <c r="D61" i="5"/>
  <c r="D53" i="5"/>
  <c r="C104" i="5" l="1"/>
  <c r="J6" i="6"/>
  <c r="I9" i="6"/>
  <c r="I11" i="6" s="1"/>
  <c r="I22" i="6" s="1"/>
  <c r="J7" i="6"/>
  <c r="J109" i="5"/>
  <c r="J111" i="5" s="1"/>
  <c r="J112" i="5" s="1"/>
  <c r="J113" i="5" s="1"/>
  <c r="J119" i="5" s="1"/>
  <c r="C105" i="5"/>
  <c r="C109" i="5"/>
  <c r="C111" i="5" s="1"/>
  <c r="I109" i="5"/>
  <c r="I111" i="5" s="1"/>
  <c r="I112" i="5" s="1"/>
  <c r="I113" i="5" s="1"/>
  <c r="I119" i="5" s="1"/>
  <c r="O105" i="5"/>
  <c r="O109" i="5"/>
  <c r="O111" i="5" s="1"/>
  <c r="O112" i="5" s="1"/>
  <c r="O113" i="5" s="1"/>
  <c r="O119" i="5" s="1"/>
  <c r="L109" i="5"/>
  <c r="M105" i="5"/>
  <c r="G105" i="5"/>
  <c r="K104" i="5"/>
  <c r="K105" i="5" s="1"/>
  <c r="H109" i="5"/>
  <c r="H111" i="5" s="1"/>
  <c r="H112" i="5" s="1"/>
  <c r="H113" i="5" s="1"/>
  <c r="H119" i="5" s="1"/>
  <c r="F105" i="5"/>
  <c r="Q105" i="5"/>
  <c r="C128" i="5" s="1"/>
  <c r="D104" i="5"/>
  <c r="D105" i="5" s="1"/>
  <c r="M111" i="5"/>
  <c r="M112" i="5" s="1"/>
  <c r="M113" i="5" s="1"/>
  <c r="M119" i="5" s="1"/>
  <c r="G111" i="5"/>
  <c r="G112" i="5" s="1"/>
  <c r="G113" i="5" s="1"/>
  <c r="G119" i="5" s="1"/>
  <c r="L111" i="5"/>
  <c r="L112" i="5" s="1"/>
  <c r="L113" i="5" s="1"/>
  <c r="L119" i="5" s="1"/>
  <c r="F111" i="5"/>
  <c r="F112" i="5" s="1"/>
  <c r="F113" i="5" s="1"/>
  <c r="F119" i="5" s="1"/>
  <c r="Q111" i="5"/>
  <c r="Q112" i="5" s="1"/>
  <c r="Q113" i="5" s="1"/>
  <c r="Q119" i="5" s="1"/>
  <c r="K7" i="6" l="1"/>
  <c r="J9" i="6"/>
  <c r="J11" i="6" s="1"/>
  <c r="J22" i="6" s="1"/>
  <c r="K6" i="6"/>
  <c r="C112" i="5"/>
  <c r="C113" i="5" s="1"/>
  <c r="C119" i="5" s="1"/>
  <c r="K109" i="5"/>
  <c r="C126" i="5"/>
  <c r="D109" i="5"/>
  <c r="D111" i="5" s="1"/>
  <c r="D112" i="5" s="1"/>
  <c r="D113" i="5" s="1"/>
  <c r="D119" i="5" s="1"/>
  <c r="C120" i="5"/>
  <c r="K111" i="5"/>
  <c r="K112" i="5" s="1"/>
  <c r="K113" i="5" s="1"/>
  <c r="K119" i="5" s="1"/>
  <c r="C124" i="5" l="1"/>
  <c r="L6" i="6"/>
  <c r="L7" i="6"/>
  <c r="K9" i="6"/>
  <c r="K11" i="6" s="1"/>
  <c r="K22" i="6" s="1"/>
  <c r="D120" i="5"/>
  <c r="E120" i="5" s="1"/>
  <c r="F120" i="5" s="1"/>
  <c r="G120" i="5" s="1"/>
  <c r="H120" i="5" s="1"/>
  <c r="I120" i="5" s="1"/>
  <c r="J120" i="5" s="1"/>
  <c r="K120" i="5" s="1"/>
  <c r="L120" i="5" s="1"/>
  <c r="M120" i="5" s="1"/>
  <c r="N120" i="5" s="1"/>
  <c r="O120" i="5" s="1"/>
  <c r="P120" i="5" s="1"/>
  <c r="Q120" i="5" s="1"/>
  <c r="L9" i="6" l="1"/>
  <c r="M7" i="6"/>
  <c r="L11" i="6"/>
  <c r="L22" i="6" s="1"/>
  <c r="M6" i="6"/>
  <c r="C125" i="5"/>
  <c r="N7" i="6" l="1"/>
  <c r="M9" i="6"/>
  <c r="N6" i="6"/>
  <c r="M11" i="6"/>
  <c r="M22" i="6" s="1"/>
  <c r="O6" i="6" l="1"/>
  <c r="O7" i="6"/>
  <c r="N9" i="6"/>
  <c r="N11" i="6" s="1"/>
  <c r="N22" i="6" s="1"/>
  <c r="O9" i="6" l="1"/>
  <c r="P7" i="6"/>
  <c r="P6" i="6"/>
  <c r="O11" i="6"/>
  <c r="O22" i="6" s="1"/>
  <c r="Q6" i="6" l="1"/>
  <c r="Q7" i="6"/>
  <c r="Q9" i="6" s="1"/>
  <c r="P9" i="6"/>
  <c r="P11" i="6" s="1"/>
  <c r="P22" i="6" s="1"/>
  <c r="Q11" i="6" l="1"/>
  <c r="Q22" i="6" s="1"/>
</calcChain>
</file>

<file path=xl/sharedStrings.xml><?xml version="1.0" encoding="utf-8"?>
<sst xmlns="http://schemas.openxmlformats.org/spreadsheetml/2006/main" count="615" uniqueCount="491">
  <si>
    <t>รวม</t>
  </si>
  <si>
    <t>สรุปงบลงทุน — Phase 1 (ล้านบาท)</t>
  </si>
  <si>
    <t>หมวด</t>
  </si>
  <si>
    <t>ต่ำ</t>
  </si>
  <si>
    <t>สูง</t>
  </si>
  <si>
    <t>กลาง</t>
  </si>
  <si>
    <t>หมายเหตุ</t>
  </si>
  <si>
    <t>ก่อสร้าง, MEP, cleanroom, ตกแต่งภายในหรูหรา — ไม่เปลี่ยนจากรอบออกแบบก่อนหน้า</t>
  </si>
  <si>
    <t>ปรับปรุง: Sports Medicine &amp; Performance Center แทนที่ biologics/stem-cell cleanroom เดิม (ไม่มี revenue line ยืนยัน); เพิ่มงบตกแต่งชั้น 6 (Extended Recovery Suites)</t>
  </si>
  <si>
    <t>งานภายนอก — ภูมิทัศน์ ที่จอดรถ สาธารณูปโภค ทางเข้ารถพยาบาลและจุดจอดรับส่ง</t>
  </si>
  <si>
    <t>รวมการแยกเส้นทางรถ walk-in, VIP และรถพยาบาลตามผังโครงการ</t>
  </si>
  <si>
    <t>ค่าออกแบบ ที่ปรึกษา และค่าธรรมเนียมกำกับดูแล</t>
  </si>
  <si>
    <t>สถาปนิก, วิศวกร MEP, QS, ที่ปรึกษา JCI/HA, EIA, ใบอนุญาต</t>
  </si>
  <si>
    <t>ยอดรวมก่อน Contingency</t>
  </si>
  <si>
    <t>Contingency (12% ของยอดรวม — FX, วัสดุ, แรงงาน, ใบอนุญาตล่าช้า)</t>
  </si>
  <si>
    <t>ยอดรวมค่าก่อสร้าง</t>
  </si>
  <si>
    <t>อุปกรณ์การแพทย์ + แพลตฟอร์ม IT (ชุดเต็ม Phase 1)</t>
  </si>
  <si>
    <t>หุ่นยนต์, imaging, อุปกรณ์ OR, สต๊อก implant, แพลตฟอร์ม IT/AI — ดูรายละเอียดใน backup ด้านล่าง</t>
  </si>
  <si>
    <t>เงินสำรองเชิงกลยุทธ์และอัพเกรดอุปกรณ์</t>
  </si>
  <si>
    <t>กันชนเงินเฟ้อ FX/วัสดุตลอด 3 ปีก่อสร้าง; เงินสำรองสำหรับอัพเกรดอุปกรณ์ (ทางเลือก)</t>
  </si>
  <si>
    <t>CAPEX รวม (ก่อสร้าง + อุปกรณ์ + เงินสำรองเชิงกลยุทธ์)</t>
  </si>
  <si>
    <t>เงินทุนหมุนเวียน (3 ปีแรก — เผาก่อนเปิด + เงินสำรองดำเนินงาน)</t>
  </si>
  <si>
    <t>ที่ดิน (เช่าระยะยาว EECiti Zone I — ยังไม่ปิดดีล ดู Land &amp; Regulatory Status)</t>
  </si>
  <si>
    <t>เงินสำรองสำหรับช่วง Ramp-up การดำเนินงาน (ครอบคลุมขาดทุนปีที่ 4-6 ระหว่าง ramp-up นอกเหนือจากเงินทุนหมุนเวียน — ดูการเช็คกระแสเงินสดใน Financial_Model)</t>
  </si>
  <si>
    <t>คำนวณจากจุดขาดดุลสะสมสูงสุดจริงใน Financial_Model (Cumulative Net Cash Flow ต่ำสุด, ปีที่ 6): ส่วนขาด mid-case เทียบกับยอด CAPEX+WC+ที่ดินเดิมอยู่ที่ ~269 ล้านบาท; เงินสำรองนี้ปิดช่องว่างพร้อม buffer เล็กน้อย</t>
  </si>
  <si>
    <t>เงินลงทุนรวม Phase 1</t>
  </si>
  <si>
    <t>ตัวเลขสำคัญ</t>
  </si>
  <si>
    <t>ต้นทุนต่อเตียง (shell 150 เตียง)</t>
  </si>
  <si>
    <t>อุปกรณ์เป็น % ของ CAPEX รวม</t>
  </si>
  <si>
    <t>เงินทุนหมุนเวียนเป็น % ของเงินลงทุนรวม</t>
  </si>
  <si>
    <t>รายการ</t>
  </si>
  <si>
    <t>ชุด Imaging Suite ทางออร์โธปิดิกส์</t>
  </si>
  <si>
    <t xml:space="preserve">    └ MRI 1.5T, wide-bore (1 เครื่อง)</t>
  </si>
  <si>
    <t xml:space="preserve">    └ เครื่อง CT, 64-slice (1 เครื่อง)</t>
  </si>
  <si>
    <t xml:space="preserve">    └ C-arm เคลื่อนที่ (×3)</t>
  </si>
  <si>
    <t xml:space="preserve">    └ DEXA bone densitometer (1 เครื่อง)</t>
  </si>
  <si>
    <t xml:space="preserve">    └ ห้อง X-ray ดิจิทัล (×2)</t>
  </si>
  <si>
    <t xml:space="preserve">    └ เครื่อง Ultrasound (×3)</t>
  </si>
  <si>
    <t xml:space="preserve">    └ การป้องกันรังสีและตกแต่งห้อง</t>
  </si>
  <si>
    <t xml:space="preserve">    └ PACS workstation และจอดูภาพ</t>
  </si>
  <si>
    <t xml:space="preserve">    └ ติดตั้ง ทดสอบระบบ เทรนพนักงาน</t>
  </si>
  <si>
    <t xml:space="preserve">    └ อะไหล่และ contingency FX/ราคา</t>
  </si>
  <si>
    <t xml:space="preserve">    ผลรวมรายการย่อย</t>
  </si>
  <si>
    <t>อุปกรณ์ห้องผ่าตัด</t>
  </si>
  <si>
    <t xml:space="preserve">    └ เตียงผ่าตัดแบบ integrated (×5)</t>
  </si>
  <si>
    <t xml:space="preserve">    └ ไฟผ่าตัดและ surgical boom (×5)</t>
  </si>
  <si>
    <t xml:space="preserve">    └ Laminar flow / HVAC ต่อห้อง (×5)</t>
  </si>
  <si>
    <t xml:space="preserve">    └ เครื่องนึ่งฆ่าเชื้อ (ใกล้ OR)</t>
  </si>
  <si>
    <t xml:space="preserve">    └ หอคอย Arthroscopy (×4)</t>
  </si>
  <si>
    <t xml:space="preserve">    └ เครื่องดมยาสลบ (×5)</t>
  </si>
  <si>
    <t xml:space="preserve">    └ เครื่อง monitor ผู้ป่วยใน OR (×5)</t>
  </si>
  <si>
    <t xml:space="preserve">    └ เครื่องจี้ไฟฟ้าผ่าตัด (×5)</t>
  </si>
  <si>
    <t xml:space="preserve">    └ เตียงผ่าตัด radiolucent รองรับ C-arm ระดับพรีเมียม (×2)</t>
  </si>
  <si>
    <t xml:space="preserve">    └ ติดตั้งและทดสอบระบบ</t>
  </si>
  <si>
    <t xml:space="preserve">    └ อะไหล่และ contingency</t>
  </si>
  <si>
    <t>อุปกรณ์ ICU/HDU และหอผู้ป่วย</t>
  </si>
  <si>
    <t xml:space="preserve">    └ เครื่องช่วยหายใจ (×20, ICU/HDU)</t>
  </si>
  <si>
    <t xml:space="preserve">    └ เครื่อง monitor ผู้ป่วย ICU/HDU (×20)</t>
  </si>
  <si>
    <t xml:space="preserve">    └ เตียง ICU/HDU ไฟฟ้า (×20)</t>
  </si>
  <si>
    <t xml:space="preserve">    └ เตียงผู้ป่วยสามัญ+VIP ผสม (×130)</t>
  </si>
  <si>
    <t xml:space="preserve">    └ เครื่องให้สารน้ำและอุปกรณ์เสริม</t>
  </si>
  <si>
    <t>อุปกรณ์ Rehabilitation &amp; Sports Medicine (ตึก B)</t>
  </si>
  <si>
    <t xml:space="preserve">    └ ระบบสระ hydrotherapy</t>
  </si>
  <si>
    <t xml:space="preserve">    └ ห้องปฏิบัติการวิเคราะห์การเดิน (Gait Lab)</t>
  </si>
  <si>
    <t xml:space="preserve">    └ เครื่องทดสอบความแข็งแรงกล้ามเนื้อแบบ Isokinetic</t>
  </si>
  <si>
    <t xml:space="preserve">    └ อุปกรณ์ strength/cardio rehab ทั่วไป</t>
  </si>
  <si>
    <t xml:space="preserve">    └ เครื่องทดสอบสมรรถภาพ VO2Max/biomechanics</t>
  </si>
  <si>
    <t xml:space="preserve">    └ เตียงกายภาพและอุปกรณ์ modality</t>
  </si>
  <si>
    <t>ห้องปฏิบัติการกลางและคลังเลือด</t>
  </si>
  <si>
    <t xml:space="preserve">    └ เครื่อง Hematology analyzer</t>
  </si>
  <si>
    <t xml:space="preserve">    └ เครื่อง Chemistry analyzer</t>
  </si>
  <si>
    <t xml:space="preserve">    └ ตู้เย็น/เก็บ blood bank</t>
  </si>
  <si>
    <t xml:space="preserve">    └ อุปกรณ์ Microbiology</t>
  </si>
  <si>
    <t xml:space="preserve">    └ เครื่อง Point-of-care testing</t>
  </si>
  <si>
    <t xml:space="preserve">    └ อุปกรณ์/เฟอร์นิเจอร์ lab ทั่วไป</t>
  </si>
  <si>
    <t>HIS / EMR / PACS — license เริ่มต้นและติดตั้ง</t>
  </si>
  <si>
    <t xml:space="preserve">    └ License และติดตั้ง HIS/EMR หลัก</t>
  </si>
  <si>
    <t xml:space="preserve">    └ Workstation และ tablet ทางคลินิก</t>
  </si>
  <si>
    <t xml:space="preserve">    └ เทรนพนักงานและ change management</t>
  </si>
  <si>
    <t>โครงสร้างพื้นฐาน IT เครือข่าย cybersecurity และเทคโนโลยี hospitality</t>
  </si>
  <si>
    <t xml:space="preserve">    └ Network switch และสายสัญญาณ</t>
  </si>
  <si>
    <t xml:space="preserve">    └ ความปลอดภัยไซเบอร์ (firewall, endpoint, monitoring)</t>
  </si>
  <si>
    <t xml:space="preserve">    └ Workstation ฝ่ายชีวเวช/ธุรการ</t>
  </si>
  <si>
    <t xml:space="preserve">    └ ห้อง Server และ UPS</t>
  </si>
  <si>
    <t xml:space="preserve">    └ แพลตฟอร์ม digital concierge/guest-services (app+backend เน้น VIP/Medical Tourist)</t>
  </si>
  <si>
    <t xml:space="preserve">    └ ระบบควบคุมอัจฉริยะในห้อง VIP ตึก A ชั้น 7 (~40 ห้อง)</t>
  </si>
  <si>
    <t xml:space="preserve">    └ ป้ายบอกทาง/wayfinding ดิจิทัล</t>
  </si>
  <si>
    <t>สต๊อก Implant (คลังเริ่มต้น)</t>
  </si>
  <si>
    <t xml:space="preserve">    └ อุปกรณ์ trauma (เพลท, สกรู, external fixator)</t>
  </si>
  <si>
    <t xml:space="preserve">    └ Prosthetic ข้อเทียม</t>
  </si>
  <si>
    <t xml:space="preserve">    └ อุปกรณ์กระดูกสันหลัง</t>
  </si>
  <si>
    <t>เครื่องพิมพ์ 3 มิติ / อุปกรณ์ผ่าตัดเฉพาะผู้ป่วย (PSI)</t>
  </si>
  <si>
    <t xml:space="preserve">    └ เครื่องพิมพ์ 3 มิติระดับการแพทย์ (Stratasys J5 MediJet class หรือเทียบเท่า)</t>
  </si>
  <si>
    <t xml:space="preserve">    └ License software วางแผนผ่าตัด/segmentation (3 ปี)</t>
  </si>
  <si>
    <t xml:space="preserve">    └ Workstation/คอมพิวเตอร์เฉพาะ</t>
  </si>
  <si>
    <t xml:space="preserve">    └ วัสดุ biocompatible ตั้งต้น</t>
  </si>
  <si>
    <t xml:space="preserve">    └ ติดตั้งและเทรนพนักงาน</t>
  </si>
  <si>
    <t>ความเชื่อมโยงเครือข่ายส่งต่อผู้ป่วย (HL7/FHIR)</t>
  </si>
  <si>
    <t xml:space="preserve">    └ สร้างแพลตฟอร์ม integration แบบ FHIR</t>
  </si>
  <si>
    <t xml:space="preserve">    └ Portal สำหรับแพทย์ผู้ refer (อัปโหลดภาพ/ใบส่งตัว)</t>
  </si>
  <si>
    <t xml:space="preserve">    └ ค่าติดตั้งเชื่อมต่อ HIE ระดับภูมิภาค</t>
  </si>
  <si>
    <t xml:space="preserve">    └ การทดสอบและรับรองความปลอดภัย</t>
  </si>
  <si>
    <t>ค่าเผื่อ Escalation ต้นทุนก่อสร้าง (เพิ่มจากการตรวจสอบ — เดิมไม่ได้ปรับ escalation ระหว่างช่วงก่อสร้าง 3 ปี)</t>
  </si>
  <si>
    <t>ราคาก่อสร้างในชีทนี้ (แถว 6-11) เป็นราคา ณ วันที่ประเมิน แต่โครงการก่อสร้างจริงในปีที่ 2-4 (หลังปีที่ 1 ขอใบอนุญาต) เงินเฟ้อ/ราคาวัสดุที่สูงขึ้นระหว่างทางทำให้ต้นทุนจริงสูงกว่าตัวเลขวันนี้ ค่าเผื่อด้านล่างคำนวณแบบถ่วงน้ำหนักตามสัดส่วนเงินที่เบิกแต่ละปี (5%/25%/40%/30%) คูณด้วยอัตรา escalation ทบต้นตามปีที่เบิกจริง</t>
  </si>
  <si>
    <t>ปีที่เบิก CAPEX</t>
  </si>
  <si>
    <t>สัดส่วนเบิก</t>
  </si>
  <si>
    <t>อัตรา Escalation สะสม</t>
  </si>
  <si>
    <t>ผลคูณถ่วงน้ำหนัก</t>
  </si>
  <si>
    <t>ปีที่ 1 (ขอใบอนุญาต/ออกแบบ)</t>
  </si>
  <si>
    <t>ปีที่ 2 (ก่อสร้าง I)</t>
  </si>
  <si>
    <t>ปีที่ 3 (ก่อสร้าง II)</t>
  </si>
  <si>
    <t>ปีที่ 4 (ก่อสร้าง III/ตกแต่ง)</t>
  </si>
  <si>
    <t>ตัวคูณ Escalation ถ่วงน้ำหนักรวม</t>
  </si>
  <si>
    <t>เงินสำรอง Escalation ต้นทุนก่อสร้าง (ล้านบาท)</t>
  </si>
  <si>
    <t>อ้างอิงอัตรา escalation: Turner &amp; Townsend, "Thailand 2026: a market moving at two speeds" ระบุ tender price escalation ตลาดเฉลี่ย 3.0-5.0% ต่อปีสำหรับปี 2569 งาน M&amp;E เฉพาะทางอาจสูงกว่านี้; Bangkok Post รายงานดัชนีวัสดุก่อสร้าง (เหล็ก คอนกรีต ซีเมนต์) เพิ่มขึ้น 5-8% YoY ไตรมาส 2 ปี 2569 จากผลกระทบตะวันออกกลาง ใช้ 4%/ปีทบต้นเป็นตัวเลขกลางของช่วงที่พบ</t>
  </si>
  <si>
    <t>ผังพื้นที่ (แนวคิด, ปรับปรุงแล้ว) — ตึก A และตึก B บนที่ดิน 15 ไร่</t>
  </si>
  <si>
    <t>ตึก A — HOSPITAL TOWER (B1 + 8 ชั้น, 150 เตียงเต็มที่, ~21,400 ตร.ม.)</t>
  </si>
  <si>
    <t>ชั้น</t>
  </si>
  <si>
    <t>หน้าที่</t>
  </si>
  <si>
    <t>พื้นที่โดยประมาณ (ตร.ม.)</t>
  </si>
  <si>
    <t>B1</t>
  </si>
  <si>
    <t>CSSD, ครัว/โภชนาการ, ซักรีด, ห้องเก็บศพ, จุดพักขยะติดเชื้อ, ล็อกเกอร์พนักงาน, ห้องเครื่อง MEP, ท่าขนถ่าย</t>
  </si>
  <si>
    <t>G / ชั้น 1</t>
  </si>
  <si>
    <t>ล็อบบี้หลัก/ต้อนรับ, ER/Trauma Center + ทางเข้ารถพยาบาลเฉพาะ, ร้านค้า/ร้านยา/คาเฟ่, จุด International Patient Services, สำนักงานธุรการ</t>
  </si>
  <si>
    <t>ชั้น 2</t>
  </si>
  <si>
    <t>คลินิก ortho ผู้ป่วยนอก, Diagnostic Imaging (MRI/CT/X-ray/DEXA), Central Lab &amp; Blood Bank</t>
  </si>
  <si>
    <t>ชั้น 3</t>
  </si>
  <si>
    <t>ห้องผ่าตัด (5 ห้อง + sterile core), pre-op/post-op holding, day surgery/endoscopy</t>
  </si>
  <si>
    <t>ชั้น 4</t>
  </si>
  <si>
    <t>ICU/HDU (20 เตียง), Recovery/PACU</t>
  </si>
  <si>
    <t>ชั้น 5</t>
  </si>
  <si>
    <t>หอผู้ป่วยใน — ฟื้นฟู General/Trauma (~45 เตียง)</t>
  </si>
  <si>
    <t>ชั้น 6</t>
  </si>
  <si>
    <t>หอผู้ป่วยใน — ฟื้นฟู Joint Replacement/Spine (~45 เตียง)</t>
  </si>
  <si>
    <t>ชั้น 7</t>
  </si>
  <si>
    <t>หอผู้ป่วยใน — ห้องชุด Premium/VIP เน้น Medical Tourist (~40 เตียง)</t>
  </si>
  <si>
    <t>ชั้น 8</t>
  </si>
  <si>
    <t>สำนักงานแพทย์, ศูนย์ประชุม/การศึกษา, ห้องพักพนักงาน, ระเบียงดาดฟ้า</t>
  </si>
  <si>
    <t>ตึก B — REHAB &amp; WELLNESS / SPORTS MEDICINE &amp; PERFORMANCE CENTER (6 ชั้น, ~8,900 ตร.ม.)</t>
  </si>
  <si>
    <t>ต้อนรับ/ล็อบบี้, ร้านค้า (สินค้ากีฬา/wellness), คาเฟ่ต่อขยาย, จุดต้อนรับกายภาพผู้ป่วยนอก</t>
  </si>
  <si>
    <t>ชั้นยิมกายภาพบำบัด, สระ hydrotherapy</t>
  </si>
  <si>
    <t>เวชศาสตร์การกีฬาและการทดสอบสมรรถภาพ (VO2Max/biomechanics/gait lab)</t>
  </si>
  <si>
    <t>Wellness/สปา, ห้องตรวจคัดกรองกล้ามเนื้อ/กระดูกองค์กร</t>
  </si>
  <si>
    <t>ห้องชุดพักฟื้น extended-stay (rehab หลังผ่าตัด, ต่อเนื่องดูแล Medical Tourist)</t>
  </si>
  <si>
    <t>ธุรการฝ่ายหลังบ้าน (Marketing, HR, IT, Finance), ศูนย์เทรนพนักงาน</t>
  </si>
  <si>
    <t>จุดเชื่อมสะพานลอย (Skip-Floor)</t>
  </si>
  <si>
    <t>สะพาน 3 จุด เลือกตามความสัมพันธ์ทางคลินิก: (1) ชั้น 2 A ↔ ชั้น 2 B — Diagnostics/Outpatient เชื่อมยิมกายภาพ (2) ชั้น 5 A ↔ ชั้น 4 B — หอผู้ป่วย General/Trauma เชื่อมศูนย์ตรวจคัดกรอง/Wellness (3) ชั้น 7 A ↔ ชั้น 5 B — หอผู้ป่วย VIP/Medical Tourist เชื่อมห้องชุดพักฟื้น Extended-Stay ชั้นทางคลินิกของตึก A น่าจะต้องการความสูงต่อชั้นมากกว่า (~4.2-4.5ม. สำหรับ MEP/ก๊าซทางการแพทย์) เทียบกับชั้น wellness/office ของตึก B (~3.6-3.9ม.) — ต้องให้วิศวกรโครงสร้าง/MEP ยืนยันระดับสะพานจริงอีกที</t>
  </si>
  <si>
    <t>เช็คไขว้พื้นที่โครงการ &amp; CAPEX (ปรับปรุงแล้ว)</t>
  </si>
  <si>
    <t>พื้นที่โครงการ (ไร่)</t>
  </si>
  <si>
    <t>พื้นที่โครงการ (ตร.ม., 1 ไร่ = 1,600 ตร.ม.)</t>
  </si>
  <si>
    <t>พื้นที่โครงการรวม ตึก A + B (ตร.ม.)</t>
  </si>
  <si>
    <t>พื้นที่ต่อเตียง ตึก A (ตร.ม./เตียง — เทียบบำรุงราษฎร์กรุงเทพฯ 121 ตร.ม./เตียง)</t>
  </si>
  <si>
    <t>ต้นทุนก่อสร้างโดยประมาณต่อ ตร.ม. ตึก A (บาท — งบ CAPEX_Summary ที่ปรับแล้ว ÷ พื้นที่โครงการที่ปรับแล้ว)</t>
  </si>
  <si>
    <t>ต้นทุนก่อสร้างโดยประมาณต่อ ตร.ม. ตึก B (บาท)</t>
  </si>
  <si>
    <t>แหล่งอ้างอิง</t>
  </si>
  <si>
    <t>1. Benchmark พื้นที่บำรุงราษฎร์กรุงเทพฯ (580 เตียง, 70,262 ตร.ม. อาคารผู้ป่วยในหลัก = 121 ตร.ม./เตียง): รวบรวมจาก Grokipedia/factsheet บำรุงราษฎร์ อ้างอิงตัวเลขที่ รพ. เผยแพร่เอง ทบทวน ก.ค. 2026</t>
  </si>
  <si>
    <t>2. การใช้พื้นที่ Zone I และพารามิเตอร์การออกแบบ EEC ทั่วไป: ไฟล์ผังแม่บท EEC (ผู้ใช้ให้มา ฉบับ 20 ธ.ค. 2023) — ไม่พบตัวเลข FAR/ความสูงเฉพาะเจาะจงสำหรับ Zone I ควรยืนยันกับ EECO ก่อนสรุปผังจริง</t>
  </si>
  <si>
    <t>3. การวางแผนเตียงและขนาดแผนก: management/planning estimate ใช้อัตราส่วนมาตรฐานการวางแผน รพ. ไม่ใช่สิ่งทดแทน brief ละเอียดจากสถาปนิกที่มีใบอนุญาต</t>
  </si>
  <si>
    <t>ตึก A — Hospital Tower (8 ชั้น + B1)</t>
  </si>
  <si>
    <t>ตึก B — Rehab &amp; Wellness (6 ชั้น)</t>
  </si>
  <si>
    <t>เทคโนโลยีใหม่สำหรับ Positioning รับเคสยาก</t>
  </si>
  <si>
    <t>อุปกรณ์การแพทย์ + แพลตฟอร์ม IT</t>
  </si>
  <si>
    <t>(ล้านบาท)</t>
  </si>
  <si>
    <t>ยอดรวมอุปกรณ์การแพทย์ + แพลตฟอร์ม IT</t>
  </si>
  <si>
    <t>ยอดรวมอุปกรณ์การแพทย์ + แพลตฟอร์ม IT และเทคโนโลยีใหม่</t>
  </si>
  <si>
    <t>ยอดรวมเทคโนโลยีใหม่</t>
  </si>
  <si>
    <t>สรุประดับหมวดหมู่ รายละเอียดแต่ละตำแหน่งอยู่ใน backup ด้านล่างของชีทนี้</t>
  </si>
  <si>
    <t>จำนวนพนักงาน (Anchor สำหรับ Interpolation, 65 เตียง)</t>
  </si>
  <si>
    <t>จำนวนพนักงาน (เต็มอัตรา, 150 เตียง)</t>
  </si>
  <si>
    <t>ต้นทุนต่อปี (Anchor, 65 เตียง)</t>
  </si>
  <si>
    <t>ต้นทุนต่อปี เต็มอัตรา (ล้านบาท)</t>
  </si>
  <si>
    <t>แพทย์ (รวม Medical Director)</t>
  </si>
  <si>
    <t>พยาบาล</t>
  </si>
  <si>
    <t>บุคลากรวิชาชีพสุขภาพ (Allied Health)</t>
  </si>
  <si>
    <t>ธุรการและบริหาร</t>
  </si>
  <si>
    <t>การตรวจสอบเทียบ Benchmark</t>
  </si>
  <si>
    <r>
      <rPr>
        <i/>
        <sz val="9"/>
        <rFont val="Cambria"/>
        <family val="1"/>
      </rPr>
      <t xml:space="preserve">Hospital for Special Surgery (HSS), </t>
    </r>
    <r>
      <rPr>
        <i/>
        <sz val="9"/>
        <rFont val="FreeSans"/>
        <family val="2"/>
      </rPr>
      <t>นิวยอร์ก — รพ</t>
    </r>
    <r>
      <rPr>
        <i/>
        <sz val="9"/>
        <rFont val="Cambria"/>
        <family val="1"/>
      </rPr>
      <t xml:space="preserve">. ortho </t>
    </r>
    <r>
      <rPr>
        <i/>
        <sz val="9"/>
        <rFont val="FreeSans"/>
        <family val="2"/>
      </rPr>
      <t xml:space="preserve">อันดับ </t>
    </r>
    <r>
      <rPr>
        <i/>
        <sz val="9"/>
        <rFont val="Cambria"/>
        <family val="1"/>
      </rPr>
      <t xml:space="preserve">1 </t>
    </r>
    <r>
      <rPr>
        <i/>
        <sz val="9"/>
        <rFont val="FreeSans"/>
        <family val="2"/>
      </rPr>
      <t xml:space="preserve">ของโลก — ทำหัตถการผ่าตัด </t>
    </r>
    <r>
      <rPr>
        <i/>
        <sz val="9"/>
        <rFont val="Cambria"/>
        <family val="1"/>
      </rPr>
      <t xml:space="preserve">ortho </t>
    </r>
    <r>
      <rPr>
        <i/>
        <sz val="9"/>
        <rFont val="FreeSans"/>
        <family val="2"/>
      </rPr>
      <t xml:space="preserve">มากกว่า </t>
    </r>
    <r>
      <rPr>
        <i/>
        <sz val="9"/>
        <rFont val="Cambria"/>
        <family val="1"/>
      </rPr>
      <t xml:space="preserve">45,000 </t>
    </r>
    <r>
      <rPr>
        <i/>
        <sz val="9"/>
        <rFont val="FreeSans"/>
        <family val="2"/>
      </rPr>
      <t xml:space="preserve">ครั้งในปี </t>
    </r>
    <r>
      <rPr>
        <i/>
        <sz val="9"/>
        <rFont val="Cambria"/>
        <family val="1"/>
      </rPr>
      <t xml:space="preserve">2025 (Becker's Spine Review, </t>
    </r>
    <r>
      <rPr>
        <i/>
        <sz val="9"/>
        <rFont val="FreeSans"/>
        <family val="2"/>
      </rPr>
      <t>มี</t>
    </r>
    <r>
      <rPr>
        <i/>
        <sz val="9"/>
        <rFont val="Cambria"/>
        <family val="1"/>
      </rPr>
      <t>.</t>
    </r>
    <r>
      <rPr>
        <i/>
        <sz val="9"/>
        <rFont val="FreeSans"/>
        <family val="2"/>
      </rPr>
      <t>ค</t>
    </r>
    <r>
      <rPr>
        <i/>
        <sz val="9"/>
        <rFont val="Cambria"/>
        <family val="1"/>
      </rPr>
      <t xml:space="preserve">. 2026, </t>
    </r>
    <r>
      <rPr>
        <i/>
        <sz val="9"/>
        <rFont val="FreeSans"/>
        <family val="2"/>
      </rPr>
      <t xml:space="preserve">อ้างอิง </t>
    </r>
    <r>
      <rPr>
        <i/>
        <sz val="9"/>
        <rFont val="Cambria"/>
        <family val="1"/>
      </rPr>
      <t xml:space="preserve">fact sheet </t>
    </r>
    <r>
      <rPr>
        <i/>
        <sz val="9"/>
        <rFont val="FreeSans"/>
        <family val="2"/>
      </rPr>
      <t xml:space="preserve">ของ </t>
    </r>
    <r>
      <rPr>
        <i/>
        <sz val="9"/>
        <rFont val="Cambria"/>
        <family val="1"/>
      </rPr>
      <t xml:space="preserve">CEO HSS) </t>
    </r>
    <r>
      <rPr>
        <i/>
        <sz val="9"/>
        <rFont val="FreeSans"/>
        <family val="2"/>
      </rPr>
      <t xml:space="preserve">ที่ </t>
    </r>
    <r>
      <rPr>
        <i/>
        <sz val="9"/>
        <rFont val="Cambria"/>
        <family val="1"/>
      </rPr>
      <t xml:space="preserve">IOH </t>
    </r>
    <r>
      <rPr>
        <i/>
        <sz val="9"/>
        <rFont val="FreeSans"/>
        <family val="2"/>
      </rPr>
      <t xml:space="preserve">เต็มกำลัง </t>
    </r>
    <r>
      <rPr>
        <i/>
        <sz val="9"/>
        <rFont val="Cambria"/>
        <family val="1"/>
      </rPr>
      <t xml:space="preserve">(150 </t>
    </r>
    <r>
      <rPr>
        <i/>
        <sz val="9"/>
        <rFont val="FreeSans"/>
        <family val="2"/>
      </rPr>
      <t xml:space="preserve">เตียง ประมาณ </t>
    </r>
    <r>
      <rPr>
        <i/>
        <sz val="9"/>
        <rFont val="Cambria"/>
        <family val="1"/>
      </rPr>
      <t xml:space="preserve">4,800-5,700 </t>
    </r>
    <r>
      <rPr>
        <i/>
        <sz val="9"/>
        <rFont val="FreeSans"/>
        <family val="2"/>
      </rPr>
      <t>เคสรวม</t>
    </r>
    <r>
      <rPr>
        <i/>
        <sz val="9"/>
        <rFont val="Cambria"/>
        <family val="1"/>
      </rPr>
      <t>/</t>
    </r>
    <r>
      <rPr>
        <i/>
        <sz val="9"/>
        <rFont val="FreeSans"/>
        <family val="2"/>
      </rPr>
      <t>ปีทุกหมวดคลินิก</t>
    </r>
    <r>
      <rPr>
        <i/>
        <sz val="9"/>
        <rFont val="Cambria"/>
        <family val="1"/>
      </rPr>
      <t xml:space="preserve">) </t>
    </r>
    <r>
      <rPr>
        <i/>
        <sz val="9"/>
        <rFont val="FreeSans"/>
        <family val="2"/>
      </rPr>
      <t xml:space="preserve">จำนวนศัลยแพทย์ </t>
    </r>
    <r>
      <rPr>
        <i/>
        <sz val="9"/>
        <rFont val="Cambria"/>
        <family val="1"/>
      </rPr>
      <t xml:space="preserve">Joint Replacement </t>
    </r>
    <r>
      <rPr>
        <i/>
        <sz val="9"/>
        <rFont val="FreeSans"/>
        <family val="2"/>
      </rPr>
      <t xml:space="preserve">ที่วางแผนไว้ </t>
    </r>
    <r>
      <rPr>
        <i/>
        <sz val="9"/>
        <rFont val="Cambria"/>
        <family val="1"/>
      </rPr>
      <t xml:space="preserve">(5 </t>
    </r>
    <r>
      <rPr>
        <i/>
        <sz val="9"/>
        <rFont val="FreeSans"/>
        <family val="2"/>
      </rPr>
      <t xml:space="preserve">คนเต็มอัตรา ดูแล </t>
    </r>
    <r>
      <rPr>
        <i/>
        <sz val="9"/>
        <rFont val="Cambria"/>
        <family val="1"/>
      </rPr>
      <t xml:space="preserve">~15% </t>
    </r>
    <r>
      <rPr>
        <i/>
        <sz val="9"/>
        <rFont val="FreeSans"/>
        <family val="2"/>
      </rPr>
      <t xml:space="preserve">ของ </t>
    </r>
    <r>
      <rPr>
        <i/>
        <sz val="9"/>
        <rFont val="Cambria"/>
        <family val="1"/>
      </rPr>
      <t xml:space="preserve">case mix) </t>
    </r>
    <r>
      <rPr>
        <i/>
        <sz val="9"/>
        <rFont val="FreeSans"/>
        <family val="2"/>
      </rPr>
      <t xml:space="preserve">หมายถึงประมาณ </t>
    </r>
    <r>
      <rPr>
        <i/>
        <sz val="9"/>
        <rFont val="Cambria"/>
        <family val="1"/>
      </rPr>
      <t xml:space="preserve">145-170 </t>
    </r>
    <r>
      <rPr>
        <i/>
        <sz val="9"/>
        <rFont val="FreeSans"/>
        <family val="2"/>
      </rPr>
      <t>เคส</t>
    </r>
    <r>
      <rPr>
        <i/>
        <sz val="9"/>
        <rFont val="Cambria"/>
        <family val="1"/>
      </rPr>
      <t>/</t>
    </r>
    <r>
      <rPr>
        <i/>
        <sz val="9"/>
        <rFont val="FreeSans"/>
        <family val="2"/>
      </rPr>
      <t>ศัลยแพทย์</t>
    </r>
    <r>
      <rPr>
        <i/>
        <sz val="9"/>
        <rFont val="Cambria"/>
        <family val="1"/>
      </rPr>
      <t>/</t>
    </r>
    <r>
      <rPr>
        <i/>
        <sz val="9"/>
        <rFont val="FreeSans"/>
        <family val="2"/>
      </rPr>
      <t xml:space="preserve">ปี ต่ำกว่าผลิตภาพต่อศัลยแพทย์ของ </t>
    </r>
    <r>
      <rPr>
        <i/>
        <sz val="9"/>
        <rFont val="Cambria"/>
        <family val="1"/>
      </rPr>
      <t xml:space="preserve">HSS </t>
    </r>
    <r>
      <rPr>
        <i/>
        <sz val="9"/>
        <rFont val="FreeSans"/>
        <family val="2"/>
      </rPr>
      <t xml:space="preserve">มาก — บ่งชี้ว่ามีที่ว่างเหลือ ไม่ใช่ขาดแคลนพนักงาน </t>
    </r>
    <r>
      <rPr>
        <i/>
        <sz val="9"/>
        <rFont val="Cambria"/>
        <family val="1"/>
      </rPr>
      <t xml:space="preserve">Hand, Foot &amp; Ankle </t>
    </r>
    <r>
      <rPr>
        <i/>
        <sz val="9"/>
        <rFont val="FreeSans"/>
        <family val="2"/>
      </rPr>
      <t xml:space="preserve">และ </t>
    </r>
    <r>
      <rPr>
        <i/>
        <sz val="9"/>
        <rFont val="Cambria"/>
        <family val="1"/>
      </rPr>
      <t xml:space="preserve">Pediatric Orthopedics </t>
    </r>
    <r>
      <rPr>
        <i/>
        <sz val="9"/>
        <rFont val="FreeSans"/>
        <family val="2"/>
      </rPr>
      <t xml:space="preserve">มีศัลยแพทย์ขั้นต่ำ </t>
    </r>
    <r>
      <rPr>
        <i/>
        <sz val="9"/>
        <rFont val="Cambria"/>
        <family val="1"/>
      </rPr>
      <t xml:space="preserve">2 </t>
    </r>
    <r>
      <rPr>
        <i/>
        <sz val="9"/>
        <rFont val="FreeSans"/>
        <family val="2"/>
      </rPr>
      <t xml:space="preserve">คนต่อ </t>
    </r>
    <r>
      <rPr>
        <i/>
        <sz val="9"/>
        <rFont val="Cambria"/>
        <family val="1"/>
      </rPr>
      <t xml:space="preserve">sub-specialty </t>
    </r>
    <r>
      <rPr>
        <i/>
        <sz val="9"/>
        <rFont val="FreeSans"/>
        <family val="2"/>
      </rPr>
      <t xml:space="preserve">ตั้งแต่วันแรก เพื่อป้องกันความเสี่ยง </t>
    </r>
    <r>
      <rPr>
        <i/>
        <sz val="9"/>
        <rFont val="Cambria"/>
        <family val="1"/>
      </rPr>
      <t>key-person (</t>
    </r>
    <r>
      <rPr>
        <i/>
        <sz val="9"/>
        <rFont val="FreeSans"/>
        <family val="2"/>
      </rPr>
      <t>ไม่พึ่งพาศัลยแพทย์คนเดียวในสายคลินิกใดๆ</t>
    </r>
    <r>
      <rPr>
        <i/>
        <sz val="9"/>
        <rFont val="Cambria"/>
        <family val="1"/>
      </rPr>
      <t>)</t>
    </r>
  </si>
  <si>
    <t>สัดส่วนพนักงานต่อเตียง เริ่มต้น</t>
  </si>
  <si>
    <t>สัดส่วนพนักงานต่อเตียง เต็มกำลัง</t>
  </si>
  <si>
    <t>หมายเหตุ: 65 เตียงเป็นจุด anchor สำหรับสร้าง slope การ interpolation ต้นทุนต่อเตียง (Financial_Model ใช้จุดนี้คำนวณต้นทุนพนักงานที่จำนวนเตียงใดๆ ระหว่าง 65-150) ไม่ใช่แผนเปิดจริง IOH เปิดปีที่ 5 ที่ 80 เตียง (ดู Bed_Expansion_KPI_Plan) ต้นทุนที่ interpolate ที่ 80 เตียงถูกใช้ทั่วทั้ง Financial_Model</t>
  </si>
  <si>
    <t>สถานะการสรรหา — ผู้นำทางคลินิกหลัก</t>
  </si>
  <si>
    <t>ตำแหน่ง</t>
  </si>
  <si>
    <t>สถานะ</t>
  </si>
  <si>
    <t>หัวหน้าศัลยแพทย์ Orthopedics / Medical Director</t>
  </si>
  <si>
    <t>ยืนยันแล้ว — เซ็นสัญญาแล้ว</t>
  </si>
  <si>
    <t>รอง Medical Director / หัวหน้า Joint Replacement</t>
  </si>
  <si>
    <t>รอดำเนินการ — อยู่ระหว่างเจรจา</t>
  </si>
  <si>
    <t>หัวหน้า Spine Surgery</t>
  </si>
  <si>
    <t>รอดำเนินการ — ยังไม่หา</t>
  </si>
  <si>
    <t>หัวหน้า Sports Medicine</t>
  </si>
  <si>
    <t>ผู้อำนวยการฝ่ายการพยาบาล</t>
  </si>
  <si>
    <t>จำนวนพนักงาน เริ่มต้น (65 เตียง)</t>
  </si>
  <si>
    <t>จำนวนพนักงาน เต็มอัตรา (150 เตียง)</t>
  </si>
  <si>
    <t>ต้นทุน เริ่มต้น (ล้านบาท)</t>
  </si>
  <si>
    <t>ต้นทุน เต็มอัตรา (ล้านบาท)</t>
  </si>
  <si>
    <t>การเงินและบัญชี</t>
  </si>
  <si>
    <t>ทรัพยากรบุคคล</t>
  </si>
  <si>
    <r>
      <rPr>
        <sz val="9"/>
        <rFont val="Cambria"/>
        <family val="1"/>
      </rPr>
      <t xml:space="preserve">IT </t>
    </r>
    <r>
      <rPr>
        <sz val="9"/>
        <rFont val="FreeSans"/>
        <family val="2"/>
      </rPr>
      <t>และระบบดิจิทัล</t>
    </r>
  </si>
  <si>
    <t>เวชระเบียน</t>
  </si>
  <si>
    <t>ประชาสัมพันธ์ / Call Center / เคาน์เตอร์หน้า</t>
  </si>
  <si>
    <t>วิศวกรรมอาคารและซ่อมบำรุงอุปกรณ์ชีวเวช</t>
  </si>
  <si>
    <t>จัดซื้อและ Supply Chain</t>
  </si>
  <si>
    <t>การตลาดและพัฒนาธุรกิจ</t>
  </si>
  <si>
    <t>ผู้บริหารและธุรการสนับสนุน</t>
  </si>
  <si>
    <r>
      <rPr>
        <sz val="9"/>
        <rFont val="Cambria"/>
        <family val="1"/>
      </rPr>
      <t xml:space="preserve">International Patient Services / </t>
    </r>
    <r>
      <rPr>
        <sz val="9"/>
        <rFont val="FreeSans"/>
        <family val="2"/>
      </rPr>
      <t xml:space="preserve">ประสาน </t>
    </r>
    <r>
      <rPr>
        <sz val="9"/>
        <rFont val="Cambria"/>
        <family val="1"/>
      </rPr>
      <t>Medical Tourism</t>
    </r>
  </si>
  <si>
    <t>แบ่งพนักงานสายคลินิก (COGS) vs ธุรการ (OPEX) — สำหรับคำนวณ Gross Profit</t>
  </si>
  <si>
    <t>สายคลินิก = แพทย์ + พยาบาล + Allied Health (แถว 6-8) ธุรการ = ธุรการและบริหาร (แถว 9) เท่านั้น ใช้โดย Financial_Model เพื่อแยก COGS จากค่าใช้จ่ายดำเนินงาน</t>
  </si>
  <si>
    <t>ต้นทุนพนักงานสายคลินิก (แพทย์ + พยาบาล + Allied Health)</t>
  </si>
  <si>
    <t>ต้นทุนพนักงานธุรการ (ธุรการและบริหาร)</t>
  </si>
  <si>
    <t>จำนวนพนักงาน เริ่มต้น (80 เตียง)</t>
  </si>
  <si>
    <t>นักรังสีเทคนิค/Imaging (MRI, CT, X-ray x2, DEXA, Ultrasound x3)</t>
  </si>
  <si>
    <t>นักเทคนิคการแพทย์ (hematology, chemistry, blood bank, microbiology, POC)</t>
  </si>
  <si>
    <t>เภสัชกรรม (เภสัชกร + ผู้ช่วยเภสัชกร แบบ blended)</t>
  </si>
  <si>
    <t>กายภาพบำบัดผู้ป่วยใน (หอผู้ป่วย + ICU mobility)</t>
  </si>
  <si>
    <t>ทีม Rehab &amp; Sports Medicine ตึก B (PT/OT/Exercise Physiologist/Hydrotherapy)</t>
  </si>
  <si>
    <t>นักกายภาพบำบัดระบบหายใจ (สนับสนุนเครื่องช่วยหายใจ ICU/HDU)</t>
  </si>
  <si>
    <t>นักโภชนาการ</t>
  </si>
  <si>
    <t>Staffing_Summary</t>
  </si>
  <si>
    <t>Allied Health</t>
  </si>
  <si>
    <t>แบบจำลองการเงิน — คาดการณ์ 15 ปี (หน่วยล้านบาท เว้นแต่ระบุไว้)</t>
  </si>
  <si>
    <t>สมมติฐาน</t>
  </si>
  <si>
    <t>ปีที่ 1 (2027)</t>
  </si>
  <si>
    <t>ปีที่ 2 (2028)</t>
  </si>
  <si>
    <t>ปีที่ 3 (2029)</t>
  </si>
  <si>
    <t>ปีที่ 4 (2030)</t>
  </si>
  <si>
    <t>ปีที่ 5 (2031)</t>
  </si>
  <si>
    <t>ปีที่ 6 (2032)</t>
  </si>
  <si>
    <t>ปีที่ 7 (2033)</t>
  </si>
  <si>
    <t>ปีที่ 8 (2034)</t>
  </si>
  <si>
    <t>ปีที่ 9 (2035)</t>
  </si>
  <si>
    <t>ปีที่ 10 (2036)</t>
  </si>
  <si>
    <t>ปีที่ 11 (2037)</t>
  </si>
  <si>
    <t>ปีที่ 12 (2038)</t>
  </si>
  <si>
    <t>ปีที่ 13 (2039)</t>
  </si>
  <si>
    <t>ปีที่ 14 (2040)</t>
  </si>
  <si>
    <t>ปีที่ 15 (2041)</t>
  </si>
  <si>
    <t>ขอใบอนุญาต/ออกแบบ</t>
  </si>
  <si>
    <t>ก่อสร้าง I</t>
  </si>
  <si>
    <t>ก่อสร้าง II</t>
  </si>
  <si>
    <t>ก่อสร้าง III / เตรียมเปิด</t>
  </si>
  <si>
    <t>Soft Launch</t>
  </si>
  <si>
    <t>รวมฐานดำเนินการ</t>
  </si>
  <si>
    <t>เริ่ม JCI</t>
  </si>
  <si>
    <t>อิ่มตัว I</t>
  </si>
  <si>
    <t>อิ่มตัว II</t>
  </si>
  <si>
    <t>เป้าคืนทุน</t>
  </si>
  <si>
    <t>ขยายกิจการ</t>
  </si>
  <si>
    <t>อิ่มตัว III</t>
  </si>
  <si>
    <t>อิ่มตัว IV</t>
  </si>
  <si>
    <t>อิ่มตัว V</t>
  </si>
  <si>
    <t>ปีที่ 15</t>
  </si>
  <si>
    <t>อัตราการครองเตียง</t>
  </si>
  <si>
    <t>จำนวนเคสต่อเตียงต่อปี</t>
  </si>
  <si>
    <t>เคสรวม</t>
  </si>
  <si>
    <t>CLINICAL CASE MIX (จาก Demand_and_Case_Mix)</t>
  </si>
  <si>
    <t>สัดส่วน Trauma ของ case mix รวม</t>
  </si>
  <si>
    <t>เคส Trauma</t>
  </si>
  <si>
    <t>เคส Elective (Joint + Spine + Sports + Other)</t>
  </si>
  <si>
    <t>PAYER-MIX SPLIT (สมมติฐานฝ่ายบริหาร)</t>
  </si>
  <si>
    <t>Trauma: สัดส่วน EEC-Local/Thai</t>
  </si>
  <si>
    <t>Trauma: สัดส่วน CLMV (แรงงานข้ามพรมแดน/referral)</t>
  </si>
  <si>
    <t>Elective: สัดส่วน EEC-Local/Thai HNW</t>
  </si>
  <si>
    <t>Elective: สัดส่วน CLMV</t>
  </si>
  <si>
    <t>Elective: สัดส่วน Medical Tourist (ต่างชาติ)</t>
  </si>
  <si>
    <t>เช็ค: สัดส่วน Elective รวมเป็น 100%</t>
  </si>
  <si>
    <t>จำนวนเคสตามกลุ่มผู้จ่ายเงิน</t>
  </si>
  <si>
    <t>เคส — EEC-Local / Thai</t>
  </si>
  <si>
    <t>เคส — CLMV</t>
  </si>
  <si>
    <t>เคส — Medical Tourist (ต่างชาติ)</t>
  </si>
  <si>
    <t>เช็ค: เคสแต่ละ segment รวมเท่ากับเคสรวม (ควรเป็น 0)</t>
  </si>
  <si>
    <t>REVENUE PER CASE (พันบาท)</t>
  </si>
  <si>
    <t>รายได้ / เคส EEC-Local</t>
  </si>
  <si>
    <t>รายได้ / เคส CLMV</t>
  </si>
  <si>
    <t>รายได้ / เคส Medical Tourist</t>
  </si>
  <si>
    <t>คาดการณ์งบกำไรขาดทุน — รายได้</t>
  </si>
  <si>
    <t>รายได้ — EEC-Local / Thai</t>
  </si>
  <si>
    <t>รายได้ — CLMV</t>
  </si>
  <si>
    <t>รายได้ — Medical Tourist (ต่างชาติ)</t>
  </si>
  <si>
    <t>รายได้รวม</t>
  </si>
  <si>
    <t>ต้นทุนขาย (COGS) และกำไรขั้นต้น</t>
  </si>
  <si>
    <t>ยาและเวชภัณฑ์ % ของรายได้ (COGS)</t>
  </si>
  <si>
    <t>ต้นทุนยาและเวชภัณฑ์</t>
  </si>
  <si>
    <t>COGS — ต้นทุนพนักงานสายคลินิก (เฉลี่ยตามจำนวนเตียงที่มีพนักงาน วิธีเดียวกับ Staff Cost ด้านล่าง)</t>
  </si>
  <si>
    <t>COGS รวม</t>
  </si>
  <si>
    <t>กำไรขั้นต้น (รายได้ − COGS)</t>
  </si>
  <si>
    <t>อัตรากำไรขั้นต้น %</t>
  </si>
  <si>
    <t>ค่าใช้จ่ายดำเนินงาน</t>
  </si>
  <si>
    <t>ต้นทุนพนักงาน (รวม — แพทย์, พยาบาล, Allied Health, ธุรการและบริหาร)</t>
  </si>
  <si>
    <t>สาธารณูปโภคและ IT ทั่วไป % ของรายได้</t>
  </si>
  <si>
    <t>ต้นทุนสาธารณูปโภคและ IT ทั่วไป</t>
  </si>
  <si>
    <t>การตลาด % ของรายได้</t>
  </si>
  <si>
    <t>ต้นทุนการตลาด</t>
  </si>
  <si>
    <t>ค่าเช่าหุ่นยนต์ Mako (ล้านบาท/ปี, OPEX)</t>
  </si>
  <si>
    <t>ต้นทุนค่าเช่า Mako</t>
  </si>
  <si>
    <t>ค่าบำรุงรักษา HIS/EMR/PACS ต่อปี (ล้านบาท/ปี)</t>
  </si>
  <si>
    <t>ต้นทุนบำรุงรักษา HIS/EMR/PACS</t>
  </si>
  <si>
    <t>ประกันภัยทรัพย์สิน/ความรับผิดทั่วไป % ของรายได้</t>
  </si>
  <si>
    <t>ต้นทุนประกันภัยทั่วไป</t>
  </si>
  <si>
    <t>ประกันความรับผิดทางการแพทย์ % ของรายได้</t>
  </si>
  <si>
    <t>ต้นทุนประกันความรับผิดทางการแพทย์</t>
  </si>
  <si>
    <t>ค่ารับรอง JCI ต่อเนื่องต่อปี (ล้านบาท/ปี, เริ่มปีที่ 7 "JCI Launch")</t>
  </si>
  <si>
    <t>ต้นทุนรับรอง JCI</t>
  </si>
  <si>
    <t>สำรองหนี้สูญ % ของรายได้</t>
  </si>
  <si>
    <t>ต้นทุนสำรองหนี้สูญ</t>
  </si>
  <si>
    <t>OUTSOURCED SERVICES — แม่บ้าน, รปภ., กำจัดขยะติดเชื้อ</t>
  </si>
  <si>
    <t>แม่บ้าน — FTE ตามสัญญา (28 คนเต็มอัตรา)</t>
  </si>
  <si>
    <t>แม่บ้าน — อัตราเหมาจ่ายเอเจนซี่ทั้งหมด (บาท/FTE/ปี)</t>
  </si>
  <si>
    <t>ต้นทุนแม่บ้าน</t>
  </si>
  <si>
    <t>รปภ. — FTE ตามสัญญา (14 คนเต็มอัตรา)</t>
  </si>
  <si>
    <t>รปภ. — อัตราเหมาจ่ายเอเจนซี่ทั้งหมด (บาท/FTE/ปี)</t>
  </si>
  <si>
    <t>ต้นทุน รปภ.</t>
  </si>
  <si>
    <t>กำจัดขยะติดเชื้อ — อัตรา (บาท/เตียง/เดือน)</t>
  </si>
  <si>
    <t>ต้นทุนกำจัดขยะติดเชื้อ</t>
  </si>
  <si>
    <t>OUTSOURCED SERVICES รวม</t>
  </si>
  <si>
    <t>การสรรหาและฝึกอบรมก่อนเปิด</t>
  </si>
  <si>
    <t>ต้นทุนสรรหา เทรน และ onboarding ก่อนเปิด (ปีที่ 4 เท่านั้น)</t>
  </si>
  <si>
    <t>ต้นทุนก่อนเปิด</t>
  </si>
  <si>
    <t>รายได้เสริม — เวชศาสตร์การกีฬา, Concierge และบริการผู้ป่วยนอก</t>
  </si>
  <si>
    <t>Performance Testing / Athlete Assessment — จำนวนแพ็กเกจ/ปี</t>
  </si>
  <si>
    <t>Performance Testing — ราคา/แพ็กเกจ (บาท)</t>
  </si>
  <si>
    <t>รายได้ Performance Testing</t>
  </si>
  <si>
    <t>ค่า Concierge/Facilitation — ค่าธรรมเนียม/เคส Medical Tourist (บาท)</t>
  </si>
  <si>
    <t>รายได้ค่า Concierge/Facilitation (ตามเคส Medical Tourist)</t>
  </si>
  <si>
    <t>Telemedicine — จำนวนครั้ง/ปี (หลังผ่าตัด/ติดตามผล)</t>
  </si>
  <si>
    <t>Telemedicine — ราคา/ครั้ง (บาท)</t>
  </si>
  <si>
    <t>รายได้ Telemedicine</t>
  </si>
  <si>
    <t>ส่งยา — % ของผู้ใช้ Telemedicine ที่สั่งส่งยา</t>
  </si>
  <si>
    <t>ส่งยา — ราคา/ครั้ง (บาท)</t>
  </si>
  <si>
    <t>รายได้ส่งยา</t>
  </si>
  <si>
    <t>Outpatient Rehab/กายภาพบำบัด — จำนวนครั้ง/ปี (ไม่ผูกกับแพ็กเกจ, walk-in/referral)</t>
  </si>
  <si>
    <t>Outpatient Rehab/กายภาพบำบัด — ราคา/ครั้ง (บาท)</t>
  </si>
  <si>
    <t>รายได้ Outpatient Rehab/กายภาพบำบัด</t>
  </si>
  <si>
    <t>รายได้เสริมรวม</t>
  </si>
  <si>
    <t>EBITDA</t>
  </si>
  <si>
    <t>อัตรากำไร EBITDA</t>
  </si>
  <si>
    <t>ค่าเสื่อมราคา ภาษี และกำไรสุทธิ</t>
  </si>
  <si>
    <t>ค่าเสื่อมราคา (CAPEX รวมกลาง / 30 ปี, เริ่มปีที่ 5 — สินทรัพย์เริ่มใช้งานตอนเปิด)</t>
  </si>
  <si>
    <t>EBIT (กำไรจากการดำเนินงาน)</t>
  </si>
  <si>
    <t>อัตราภาษี (BOI holiday จากนั้น 20%)</t>
  </si>
  <si>
    <t>ภาษี</t>
  </si>
  <si>
    <t>กำไรสุทธิหลังภาษี</t>
  </si>
  <si>
    <t>กระแสเงินสดจากดำเนินงาน (กำไรสุทธิ + บวกกลับค่าเสื่อมราคา)</t>
  </si>
  <si>
    <t>กระแสเงินสดและผลตอบแทน</t>
  </si>
  <si>
    <t>การเบิกจ่าย CAPEX (% ของ CAPEX รวม, กลาง — ขอใบอนุญาต/ออกแบบ + S-curve ก่อสร้าง 3 ปี)</t>
  </si>
  <si>
    <t>กระแสเงินสดจ่าย CAPEX</t>
  </si>
  <si>
    <t>กระแสเงินสดจ่ายที่ดิน (ปีที่ 1, ตอนเซ็นสัญญาเช่า) + เงินทุนหมุนเวียน (ปีที่ 4, ก่อนเปิด)</t>
  </si>
  <si>
    <t>กระแสเงินสดสุทธิ (ต่องวด)</t>
  </si>
  <si>
    <t>กระแสเงินสดสุทธิสะสม</t>
  </si>
  <si>
    <t>ตัวชี้วัดการลงทุนหลัก</t>
  </si>
  <si>
    <t>เงินลงทุนรวม Phase 1 (ล้านบาท)</t>
  </si>
  <si>
    <t>Project IRR (15 ปี ไม่รวม exit)</t>
  </si>
  <si>
    <t>ระยะเวลาคืนทุน (ปีแรกที่กระแสเงินสดสะสมเป็นบวก)</t>
  </si>
  <si>
    <t>ปีที่ EBITDA เป็นบวก</t>
  </si>
  <si>
    <t>รายได้ปีที่ 15 (ล้านบาท)</t>
  </si>
  <si>
    <t>EBITDA Margin ปีที่ 15</t>
  </si>
  <si>
    <t>กำไรขั้นต้นปีที่ 15 (ล้านบาท)</t>
  </si>
  <si>
    <t>อัตรากำไรขั้นต้นปีที่ 15</t>
  </si>
  <si>
    <t>รายได้เสริมเพิ่มเติม — ตรวจคัดกรองกล้ามเนื้อและกระดูกสำหรับองค์กร, สมาชิก VIP, ค่าเช่าพื้นที่ร้านค้า/ร้านยา</t>
  </si>
  <si>
    <t>ปีที่ 1</t>
  </si>
  <si>
    <t>ปีที่ 2</t>
  </si>
  <si>
    <t>ปีที่ 3</t>
  </si>
  <si>
    <t>ปีที่ 4</t>
  </si>
  <si>
    <t>ปีที่ 5</t>
  </si>
  <si>
    <t>ปีที่ 6</t>
  </si>
  <si>
    <t>ปีที่ 7</t>
  </si>
  <si>
    <t>ปีที่ 8</t>
  </si>
  <si>
    <t>ปีที่ 9</t>
  </si>
  <si>
    <t>ปีที่ 10</t>
  </si>
  <si>
    <t>ปีที่ 11</t>
  </si>
  <si>
    <t>ปีที่ 12</t>
  </si>
  <si>
    <t>ปีที่ 13</t>
  </si>
  <si>
    <t>ปีที่ 14</t>
  </si>
  <si>
    <t>ตรวจคัดกรองกล้ามเนื้อและกระดูกสำหรับองค์กร — จำนวนพนักงานที่ตรวจต่อปี (DEXA, ท่าทาง/การเดิน, ความเสี่ยง ergonomic)</t>
  </si>
  <si>
    <t>ตรวจคัดกรององค์กร — ราคาต่อพนักงาน (บาท)</t>
  </si>
  <si>
    <t>รายได้ตรวจคัดกรองกล้ามเนื้อและกระดูกสำหรับองค์กร</t>
  </si>
  <si>
    <t>สมาชิก VIP/Priority — จำนวนสมาชิกต่อปี (สะสม)</t>
  </si>
  <si>
    <t>สมาชิก VIP — ค่าสมาชิกต่อคนต่อปี (บาท)</t>
  </si>
  <si>
    <t>รายได้สมาชิก VIP</t>
  </si>
  <si>
    <t>พื้นที่เช่าร้านค้า/ร้านยา/คาเฟ่ (ตร.ม. ปรับตามสัดส่วนเปิดใช้งาน)</t>
  </si>
  <si>
    <t>ร้านค้า/ร้านยา/คาเฟ่ — ค่าเช่า (บาท/ตร.ม./เดือน)</t>
  </si>
  <si>
    <t>รายได้ค่าเช่าร้านค้า/ร้านยา/คาเฟ่</t>
  </si>
  <si>
    <t>รวมรายได้เสริมเพิ่มเติม</t>
  </si>
  <si>
    <t>การซื้ออุปกรณ์แบบเลื่อนออกไป — Intraoperative CT/O-arm (ปีที่ 7)</t>
  </si>
  <si>
    <t>ซื้อ O-arm (ล้านบาท ครั้งเดียว เฉพาะปีที่ 7)</t>
  </si>
  <si>
    <t>กระแสเงินสดจ่ายซื้อ O-arm</t>
  </si>
  <si>
    <t>ค่าบำรุงรักษาเครื่องมือแพทย์และสัญญาบริการ (เพิ่มใหม่ — เดิมขาดหายไป)</t>
  </si>
  <si>
    <t>อัตราค่าบำรุงรักษาอุปกรณ์ (% ของมูลค่าอุปกรณ์ที่เกี่ยวข้อง ฐาน 719 ล้านบาท)</t>
  </si>
  <si>
    <t>ค่าบำรุงรักษาอุปกรณ์</t>
  </si>
  <si>
    <t>งบดุล — Pro Forma 15 ปี (หน่วยล้านบาท)</t>
  </si>
  <si>
    <t>สินทรัพย์</t>
  </si>
  <si>
    <t>เงินสดและรายการเทียบเท่าเงินสด</t>
  </si>
  <si>
    <t>ที่ดิน อาคาร อุปกรณ์ มูลค่าเต็ม (CAPEX สะสมที่เบิกใช้ รวม O-arm แบบเลื่อน)</t>
  </si>
  <si>
    <t>ค่าเสื่อมราคาสะสม</t>
  </si>
  <si>
    <t>ที่ดิน อาคาร อุปกรณ์ สุทธิ</t>
  </si>
  <si>
    <t>ที่ดิน (สิทธิการเช่า ตามราคาทุน)</t>
  </si>
  <si>
    <t>รวมสินทรัพย์</t>
  </si>
  <si>
    <t>หนี้สิน</t>
  </si>
  <si>
    <t>เจ้าหนี้การค้าและค่าใช้จ่ายค้างจ่าย</t>
  </si>
  <si>
    <t>รวมหนี้สิน (ไม่มีหนี้ระดับโครงการ — โครงสร้าง 100% Equity)</t>
  </si>
  <si>
    <t>หมายเหตุ: กำหนดเป็นศูนย์ Cash Flow from Operations ของ Financial_Model เป็นการคำนวณตรง (กำไรสุทธิ + บวกกลับค่าเสื่อมราคา) ที่ถือว่าจ่ายค่าใช้จ่ายเป็นเงินสดทันทีที่เกิดขึ้น — ไม่ได้จำลองการเปลี่ยนแปลงจังหวะการจ่ายเงิน/working capital การใส่ยอดเจ้าหนี้ที่ไม่ใช่ศูนย์โดยไม่ปรับ CFO ตามจังหวะเจ้าหนี้จะทำให้งบดุลไม่สมดุล จึงตั้งใจกำหนดเป็นศูนย์แทนที่จะใส่เป็นตัวเลขที่ยังไม่สมดุล งบกระแสเงินสดแบบ accrual เต็มรูปแบบเป็นระดับความละเอียดถัดไปหากต้องการ</t>
  </si>
  <si>
    <t>ส่วนของผู้ถือหุ้น</t>
  </si>
  <si>
    <t>ทุนที่ชำระแล้ว</t>
  </si>
  <si>
    <t>กำไรสะสม (กำไรสุทธิสะสม − เงินปันผลสะสม)</t>
  </si>
  <si>
    <t>รวมส่วนของผู้ถือหุ้น</t>
  </si>
  <si>
    <t>เช็คความสมดุล (สินทรัพย์ − หนี้สิน − ส่วนของผู้ถือหุ้น ควรเท่ากับ 0)</t>
  </si>
  <si>
    <t>หมายเหตุ: แถวเงินปันผลที่อ้างอิงด้านบนคือ Valuation_and_Funding แถว 76 (การจ่ายเงินปันผล) หากส่วนเงินปันผลใน Valuation_and_Funding ถูกแก้ไขในอนาคต ต้องเช็คการอ้างอิงนี้ใหม่</t>
  </si>
  <si>
    <t>เตียง</t>
  </si>
  <si>
    <t>อุปสงค์และ Case Mix ทางคลินิก — โมเดล Trauma-Led (Dual-Engine)</t>
  </si>
  <si>
    <t>ฐาน: ประชากรในพื้นที่บริการ Eastern Seaboard (ชลบุรี + ระยอง ~2.4 ล้านคน), อัตราการผ่าตัดเปลี่ยนข้อเข่า/สะโพก CSMBS (สิทธิข้าราชการ) เป็นตัวแทนอุปสงค์ private-pay แบบไม่จำกัด และ clinical case-mix ที่ยืนยันโดยทีม Medical Director ที่กำลังเข้าร่วม (ปัจจุบันอยู่ขั้น Term Sheet/LOI — ดู Team &amp; Governance)</t>
  </si>
  <si>
    <t>A. พื้นที่บริการและอุปสงค์พื้นฐาน</t>
  </si>
  <si>
    <t>ประชากรในพื้นที่บริการ ชลบุรี + ระยอง</t>
  </si>
  <si>
    <t>อัตรา CSMBS TKA/THA ต่อประชากร 100,000 คน/ปี (ตัวแทนอุปสงค์ private-pay แบบไม่จำกัด)</t>
  </si>
  <si>
    <t>ตัวคูณ: TKA/THA สู่อุปสงค์ ortho เต็มขอบเขต (trauma, spine, sports, hand/foot)</t>
  </si>
  <si>
    <t>จุดกึ่งกลางของช่วง 2.5-3.0 เท่า</t>
  </si>
  <si>
    <t>อุปสงค์ ortho เต็มขอบเขตต่อประชากร 100,000 คน/ปี</t>
  </si>
  <si>
    <t>อุปสงค์ ortho เต็มขอบเขตรวมที่รองรับได้ในพื้นที่บริการ (เคส/ปี)</t>
  </si>
  <si>
    <t>B. Clinical Case Mix (ยืนยันโดยทีม Medical Director แล้ว รอเซ็นสัญญาสุดท้าย)</t>
  </si>
  <si>
    <t>ประเภทเคส</t>
  </si>
  <si>
    <t>สัดส่วน Case Mix</t>
  </si>
  <si>
    <t>ลักษณะอุปสงค์</t>
  </si>
  <si>
    <r>
      <rPr>
        <b/>
        <sz val="9"/>
        <rFont val="Cambria"/>
        <family val="1"/>
      </rPr>
      <t xml:space="preserve">LOS </t>
    </r>
    <r>
      <rPr>
        <b/>
        <sz val="9"/>
        <rFont val="FreeSans"/>
        <family val="2"/>
      </rPr>
      <t xml:space="preserve">ถ่วงน้ำหนัก </t>
    </r>
    <r>
      <rPr>
        <b/>
        <sz val="9"/>
        <rFont val="Cambria"/>
        <family val="1"/>
      </rPr>
      <t>(</t>
    </r>
    <r>
      <rPr>
        <b/>
        <sz val="9"/>
        <rFont val="FreeSans"/>
        <family val="2"/>
      </rPr>
      <t>วัน</t>
    </r>
    <r>
      <rPr>
        <b/>
        <sz val="9"/>
        <rFont val="Cambria"/>
        <family val="1"/>
      </rPr>
      <t>)</t>
    </r>
  </si>
  <si>
    <t>บาดเจ็บทางออร์โธปิดิกส์ (Trauma)</t>
  </si>
  <si>
    <t>ฐานประชากร/แรงงานใน EEC ท้องถิ่น — ไม่พึ่งพา medical tourism</t>
  </si>
  <si>
    <t>ผ่าตัดเปลี่ยนข้อ (TKA/THA)</t>
  </si>
  <si>
    <r>
      <rPr>
        <sz val="9"/>
        <rFont val="Cambria"/>
        <family val="1"/>
      </rPr>
      <t xml:space="preserve">Elective — ASP </t>
    </r>
    <r>
      <rPr>
        <sz val="9"/>
        <rFont val="FreeSans"/>
        <family val="2"/>
      </rPr>
      <t xml:space="preserve">สูง ดึง </t>
    </r>
    <r>
      <rPr>
        <sz val="9"/>
        <rFont val="Cambria"/>
        <family val="1"/>
      </rPr>
      <t>medical tourism</t>
    </r>
  </si>
  <si>
    <t>ผ่าตัดกระดูกสันหลัง</t>
  </si>
  <si>
    <r>
      <rPr>
        <sz val="9"/>
        <rFont val="Cambria"/>
        <family val="1"/>
      </rPr>
      <t xml:space="preserve">Elective — ASP </t>
    </r>
    <r>
      <rPr>
        <sz val="9"/>
        <rFont val="FreeSans"/>
        <family val="2"/>
      </rPr>
      <t>สูงที่สุด</t>
    </r>
  </si>
  <si>
    <t>เวชศาสตร์การกีฬา</t>
  </si>
  <si>
    <r>
      <rPr>
        <sz val="9"/>
        <rFont val="Cambria"/>
        <family val="1"/>
      </rPr>
      <t xml:space="preserve">Elective — </t>
    </r>
    <r>
      <rPr>
        <sz val="9"/>
        <rFont val="FreeSans"/>
        <family val="2"/>
      </rPr>
      <t xml:space="preserve">เชื่อมโยงกับ </t>
    </r>
    <r>
      <rPr>
        <sz val="9"/>
        <rFont val="Cambria"/>
        <family val="1"/>
      </rPr>
      <t>EECiti Zone 4 Sports Park</t>
    </r>
  </si>
  <si>
    <t>อื่นๆ (Hand/Foot-Ankle/Pediatric/Physiatry)</t>
  </si>
  <si>
    <t>ผสมระหว่าง elective และ referral</t>
  </si>
  <si>
    <t>C. สถานการณ์ความต้องการเตียง (เคส/ปี x LOS ถ่วงน้ำหนัก / (365 x Target Occupancy))</t>
  </si>
  <si>
    <t>สถานการณ์</t>
  </si>
  <si>
    <t>เคส/ปี (ต่ำ)</t>
  </si>
  <si>
    <t>เคส/ปี (สูง)</t>
  </si>
  <si>
    <t>เป้า Occupancy</t>
  </si>
  <si>
    <t>เตียงที่ต้องการ (ต่ำ)</t>
  </si>
  <si>
    <t>เตียงที่ต้องการ (สูง)</t>
  </si>
  <si>
    <t>เฉพาะ Tier 1 + 1.5 (ไม่มี medical tourism)</t>
  </si>
  <si>
    <t>Tier 1 + 1.5 + medical tourism เริ่มต้น (Base Case)</t>
  </si>
  <si>
    <t>Tier 1 + 1.5 + medical tourism เต็มรูปแบบ (Upside)</t>
  </si>
  <si>
    <t>D. ข้อสรุปการออกแบบ</t>
  </si>
  <si>
    <r>
      <rPr>
        <i/>
        <sz val="9"/>
        <rFont val="Cambria"/>
        <family val="1"/>
      </rPr>
      <t xml:space="preserve">Shell </t>
    </r>
    <r>
      <rPr>
        <i/>
        <sz val="9"/>
        <rFont val="FreeSans"/>
        <family val="2"/>
      </rPr>
      <t xml:space="preserve">ที่ได้รับอนุญาต </t>
    </r>
    <r>
      <rPr>
        <i/>
        <sz val="9"/>
        <rFont val="Cambria"/>
        <family val="1"/>
      </rPr>
      <t xml:space="preserve">150 </t>
    </r>
    <r>
      <rPr>
        <i/>
        <sz val="9"/>
        <rFont val="FreeSans"/>
        <family val="2"/>
      </rPr>
      <t xml:space="preserve">เตียงอยู่ในช่วง </t>
    </r>
    <r>
      <rPr>
        <i/>
        <sz val="9"/>
        <rFont val="Cambria"/>
        <family val="1"/>
      </rPr>
      <t xml:space="preserve">Base-to-Upside </t>
    </r>
    <r>
      <rPr>
        <i/>
        <sz val="9"/>
        <rFont val="FreeSans"/>
        <family val="2"/>
      </rPr>
      <t xml:space="preserve">ข้างต้น และใช้เป็นขนาดออกแบบ </t>
    </r>
    <r>
      <rPr>
        <i/>
        <sz val="9"/>
        <rFont val="Cambria"/>
        <family val="1"/>
      </rPr>
      <t xml:space="preserve">Phase 1 </t>
    </r>
    <r>
      <rPr>
        <i/>
        <sz val="9"/>
        <rFont val="FreeSans"/>
        <family val="2"/>
      </rPr>
      <t xml:space="preserve">การเปิดดำเนินการด้วยพนักงาน </t>
    </r>
    <r>
      <rPr>
        <i/>
        <sz val="9"/>
        <rFont val="Cambria"/>
        <family val="1"/>
      </rPr>
      <t xml:space="preserve">80 </t>
    </r>
    <r>
      <rPr>
        <i/>
        <sz val="9"/>
        <rFont val="FreeSans"/>
        <family val="2"/>
      </rPr>
      <t xml:space="preserve">เตียง </t>
    </r>
    <r>
      <rPr>
        <i/>
        <sz val="9"/>
        <rFont val="Cambria"/>
        <family val="1"/>
      </rPr>
      <t>(</t>
    </r>
    <r>
      <rPr>
        <i/>
        <sz val="9"/>
        <rFont val="FreeSans"/>
        <family val="2"/>
      </rPr>
      <t xml:space="preserve">สูงกว่าจุดกึ่งกลางของสถานการณ์เฉพาะ </t>
    </r>
    <r>
      <rPr>
        <i/>
        <sz val="9"/>
        <rFont val="Cambria"/>
        <family val="1"/>
      </rPr>
      <t xml:space="preserve">Tier 1+1.5 </t>
    </r>
    <r>
      <rPr>
        <i/>
        <sz val="9"/>
        <rFont val="FreeSans"/>
        <family val="2"/>
      </rPr>
      <t xml:space="preserve">เล็กน้อย เพื่อรองรับต้นทุนคงที่ของ </t>
    </r>
    <r>
      <rPr>
        <i/>
        <sz val="9"/>
        <rFont val="Cambria"/>
        <family val="1"/>
      </rPr>
      <t xml:space="preserve">ER/CSSD/Lab/Imaging </t>
    </r>
    <r>
      <rPr>
        <i/>
        <sz val="9"/>
        <rFont val="FreeSans"/>
        <family val="2"/>
      </rPr>
      <t>ให้คุ้มค่าตั้งแต่วันแรก</t>
    </r>
    <r>
      <rPr>
        <i/>
        <sz val="9"/>
        <rFont val="Cambria"/>
        <family val="1"/>
      </rPr>
      <t xml:space="preserve">) </t>
    </r>
    <r>
      <rPr>
        <i/>
        <sz val="9"/>
        <rFont val="FreeSans"/>
        <family val="2"/>
      </rPr>
      <t xml:space="preserve">ทำให้ </t>
    </r>
    <r>
      <rPr>
        <i/>
        <sz val="9"/>
        <rFont val="Cambria"/>
        <family val="1"/>
      </rPr>
      <t xml:space="preserve">OPEX </t>
    </r>
    <r>
      <rPr>
        <i/>
        <sz val="9"/>
        <rFont val="FreeSans"/>
        <family val="2"/>
      </rPr>
      <t xml:space="preserve">ช่วงต้นไม่พึ่งพาการที่ </t>
    </r>
    <r>
      <rPr>
        <i/>
        <sz val="9"/>
        <rFont val="Cambria"/>
        <family val="1"/>
      </rPr>
      <t xml:space="preserve">medical tourism </t>
    </r>
    <r>
      <rPr>
        <i/>
        <sz val="9"/>
        <rFont val="FreeSans"/>
        <family val="2"/>
      </rPr>
      <t xml:space="preserve">จะ </t>
    </r>
    <r>
      <rPr>
        <i/>
        <sz val="9"/>
        <rFont val="Cambria"/>
        <family val="1"/>
      </rPr>
      <t xml:space="preserve">ramp </t>
    </r>
    <r>
      <rPr>
        <i/>
        <sz val="9"/>
        <rFont val="FreeSans"/>
        <family val="2"/>
      </rPr>
      <t xml:space="preserve">ตามกำหนดเวลา เตียงที่มีพนักงานดูแลขยายสู่ </t>
    </r>
    <r>
      <rPr>
        <i/>
        <sz val="9"/>
        <rFont val="Cambria"/>
        <family val="1"/>
      </rPr>
      <t xml:space="preserve">shell 150 </t>
    </r>
    <r>
      <rPr>
        <i/>
        <sz val="9"/>
        <rFont val="FreeSans"/>
        <family val="2"/>
      </rPr>
      <t xml:space="preserve">เตียงตาม </t>
    </r>
    <r>
      <rPr>
        <i/>
        <sz val="9"/>
        <rFont val="Cambria"/>
        <family val="1"/>
      </rPr>
      <t xml:space="preserve">KPI (occupancy, </t>
    </r>
    <r>
      <rPr>
        <i/>
        <sz val="9"/>
        <rFont val="FreeSans"/>
        <family val="2"/>
      </rPr>
      <t xml:space="preserve">การรับรอง </t>
    </r>
    <r>
      <rPr>
        <i/>
        <sz val="9"/>
        <rFont val="Cambria"/>
        <family val="1"/>
      </rPr>
      <t xml:space="preserve">JCI, </t>
    </r>
    <r>
      <rPr>
        <i/>
        <sz val="9"/>
        <rFont val="FreeSans"/>
        <family val="2"/>
      </rPr>
      <t>บริการระหว่างประเทศที่อู่ตะเภา</t>
    </r>
    <r>
      <rPr>
        <i/>
        <sz val="9"/>
        <rFont val="Cambria"/>
        <family val="1"/>
      </rPr>
      <t xml:space="preserve">) — </t>
    </r>
    <r>
      <rPr>
        <i/>
        <sz val="9"/>
        <rFont val="FreeSans"/>
        <family val="2"/>
      </rPr>
      <t xml:space="preserve">ดู </t>
    </r>
    <r>
      <rPr>
        <i/>
        <sz val="9"/>
        <rFont val="Cambria"/>
        <family val="1"/>
      </rPr>
      <t>Bed_Expansion_KPI_Plan</t>
    </r>
  </si>
  <si>
    <t>Scenario</t>
  </si>
  <si>
    <t>Description</t>
  </si>
  <si>
    <t>IRR</t>
  </si>
  <si>
    <t>Payback</t>
  </si>
  <si>
    <t>Year 10 Revenue (THB mm)</t>
  </si>
  <si>
    <t>Year 10 EBITDA (THB mm)</t>
  </si>
  <si>
    <t>Base Case</t>
  </si>
  <si>
    <t>As presented in Financial_Model</t>
  </si>
  <si>
    <t>Year 8</t>
  </si>
  <si>
    <t>SCENARIO 1</t>
  </si>
  <si>
    <t>Medical Tourist elective-mix ramp shifted back 3 years (uses prior scenario's slower-year mix); occupancy unchanged.</t>
  </si>
  <si>
    <t>Year 9</t>
  </si>
  <si>
    <t>SCENARIO 2</t>
  </si>
  <si>
    <t>Bed occupancy rate reduced by a flat 15 percentage points from Year 3 onward vs. Base Case; payer mix unchanged.</t>
  </si>
  <si>
    <t>SCENARIO 3</t>
  </si>
  <si>
    <t>Both shocks applied simultaneously.</t>
  </si>
  <si>
    <t>Year 10</t>
  </si>
  <si>
    <t>Year 1</t>
  </si>
  <si>
    <t>Year 2</t>
  </si>
  <si>
    <t>Year 3</t>
  </si>
  <si>
    <t>Year 4</t>
  </si>
  <si>
    <t>Year 5</t>
  </si>
  <si>
    <t>Year 6</t>
  </si>
  <si>
    <t>Year 7</t>
  </si>
  <si>
    <t>Beds (staffed) — same as Base Case</t>
  </si>
  <si>
    <t>Bed Occupancy Rate</t>
  </si>
  <si>
    <t>Cases per Bed per Year — same as Base Case</t>
  </si>
  <si>
    <t>Total Cases</t>
  </si>
  <si>
    <t>Trauma Cases (60% of mix)</t>
  </si>
  <si>
    <t>Elective Cases</t>
  </si>
  <si>
    <t>Elective: Medical Tourist share used</t>
  </si>
  <si>
    <t>Elective: EEC-Local/CLMV share used (residual)</t>
  </si>
  <si>
    <t>Revenue / Medical Tourist Case (THB '000, same as Base Case)</t>
  </si>
  <si>
    <t>Blended Revenue / Non-Medical-Tourist Case (THB '000, Base Case avg of Local+CLMV)</t>
  </si>
  <si>
    <t>TOTAL REVENUE (THB mm)</t>
  </si>
  <si>
    <t>Staff Cost (headcount-driven, same as Base Case)</t>
  </si>
  <si>
    <t>Other OPEX (same % of revenue as Base Case)</t>
  </si>
  <si>
    <t>Mako Lease Cost (same as Base Case)</t>
  </si>
  <si>
    <t>Depreciation (same as Base Case)</t>
  </si>
  <si>
    <t>Tax (same rate schedule as Base Case)</t>
  </si>
  <si>
    <t>Cash Flow from Operations</t>
  </si>
  <si>
    <t>CAPEX + Land + WC Outflow (same as Base Case)</t>
  </si>
  <si>
    <t>Net Cash Flow (period)</t>
  </si>
  <si>
    <t>Cumulative Net Cash Flow</t>
  </si>
  <si>
    <t>IRR (10-yr, no exit value)</t>
  </si>
  <si>
    <t>Payback Period</t>
  </si>
  <si>
    <t>พยาบาลดู 1 ต่อ 5</t>
  </si>
  <si>
    <t>แก้ใหม่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</si>
</sst>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#,##0.0"/>
    <numFmt numFmtId="166" formatCode="0.0000"/>
    <numFmt numFmtId="167" formatCode="_(* #,##0_);_(* \(#,##0\);_(* &quot;-&quot;??_);_(@_)"/>
  </numFmts>
  <fonts count="4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rgb="FF1F3864"/>
      <name val="Arial"/>
      <family val="2"/>
    </font>
    <font>
      <i/>
      <sz val="9"/>
      <color rgb="FF80808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9"/>
      <name val="FreeSans"/>
      <family val="2"/>
      <charset val="1"/>
    </font>
    <font>
      <sz val="9"/>
      <name val="FreeSans"/>
      <family val="2"/>
      <charset val="1"/>
    </font>
    <font>
      <sz val="9"/>
      <name val="Cambria"/>
      <family val="1"/>
    </font>
    <font>
      <sz val="9"/>
      <name val="FreeSans"/>
      <family val="2"/>
    </font>
    <font>
      <i/>
      <sz val="9"/>
      <name val="Cambria"/>
      <family val="1"/>
    </font>
    <font>
      <i/>
      <sz val="9"/>
      <name val="FreeSans"/>
      <family val="2"/>
    </font>
    <font>
      <i/>
      <sz val="8"/>
      <name val="FreeSans"/>
      <family val="2"/>
      <charset val="1"/>
    </font>
    <font>
      <b/>
      <sz val="11"/>
      <color rgb="FFFFFFFF"/>
      <name val="FreeSans"/>
      <family val="2"/>
      <charset val="1"/>
    </font>
    <font>
      <b/>
      <sz val="11"/>
      <color rgb="FFFFFFFF"/>
      <name val="Arial"/>
      <family val="2"/>
    </font>
    <font>
      <sz val="10"/>
      <color rgb="FF008000"/>
      <name val="Arial"/>
      <family val="2"/>
    </font>
    <font>
      <sz val="11"/>
      <name val="Cambria"/>
      <family val="1"/>
    </font>
    <font>
      <i/>
      <sz val="8"/>
      <color rgb="FF808080"/>
      <name val="Arial"/>
      <family val="2"/>
    </font>
    <font>
      <i/>
      <sz val="9"/>
      <color rgb="FF000000"/>
      <name val="Arial"/>
      <family val="2"/>
    </font>
    <font>
      <i/>
      <sz val="10"/>
      <color rgb="FF000000"/>
      <name val="Arial"/>
      <family val="2"/>
    </font>
    <font>
      <sz val="9"/>
      <color rgb="FF808080"/>
      <name val="Arial"/>
      <family val="2"/>
    </font>
    <font>
      <sz val="11"/>
      <color rgb="FF000000"/>
      <name val="Calibri"/>
      <family val="2"/>
      <charset val="1"/>
    </font>
    <font>
      <sz val="12"/>
      <color theme="1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9"/>
      <color rgb="FF000000"/>
      <name val="Arial"/>
      <family val="2"/>
    </font>
    <font>
      <sz val="8"/>
      <color rgb="FF808080"/>
      <name val="Arial"/>
      <family val="2"/>
    </font>
    <font>
      <sz val="11"/>
      <color theme="0"/>
      <name val="Arial"/>
      <family val="2"/>
    </font>
    <font>
      <b/>
      <sz val="12"/>
      <color theme="1"/>
      <name val="Aptos Narrow"/>
      <scheme val="minor"/>
    </font>
    <font>
      <b/>
      <sz val="10"/>
      <color theme="0"/>
      <name val="Arial"/>
      <family val="2"/>
    </font>
    <font>
      <b/>
      <sz val="9"/>
      <color rgb="FFFFFFFF"/>
      <name val="Arial"/>
      <family val="2"/>
    </font>
    <font>
      <i/>
      <sz val="8"/>
      <color rgb="FF000000"/>
      <name val="Arial"/>
      <family val="2"/>
    </font>
    <font>
      <sz val="9"/>
      <color rgb="FF0000FF"/>
      <name val="Arial"/>
      <family val="2"/>
    </font>
    <font>
      <b/>
      <sz val="9"/>
      <color rgb="FF000000"/>
      <name val="Arial"/>
      <family val="2"/>
    </font>
    <font>
      <b/>
      <sz val="8"/>
      <color rgb="FF808080"/>
      <name val="Arial"/>
      <family val="2"/>
    </font>
    <font>
      <i/>
      <sz val="8"/>
      <color rgb="FF808080"/>
      <name val="Cambria"/>
      <family val="1"/>
    </font>
    <font>
      <i/>
      <sz val="8"/>
      <color rgb="FF808080"/>
      <name val="FreeSans"/>
      <family val="2"/>
      <charset val="1"/>
    </font>
    <font>
      <b/>
      <sz val="9"/>
      <name val="Cambria"/>
      <family val="1"/>
    </font>
    <font>
      <b/>
      <sz val="9"/>
      <name val="FreeSans"/>
      <family val="2"/>
    </font>
    <font>
      <sz val="11"/>
      <color theme="1"/>
      <name val="Calibri"/>
      <family val="2"/>
    </font>
    <font>
      <b/>
      <sz val="9"/>
      <color theme="1"/>
      <name val="Cambria"/>
      <family val="1"/>
    </font>
    <font>
      <b/>
      <sz val="9"/>
      <color theme="1"/>
      <name val="Arial"/>
      <family val="2"/>
    </font>
    <font>
      <sz val="9"/>
      <color rgb="FF008000"/>
      <name val="Arial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5395"/>
        <bgColor rgb="FF44546A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E539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0" fillId="2" borderId="0" xfId="0" applyFill="1"/>
    <xf numFmtId="0" fontId="5" fillId="0" borderId="0" xfId="0" applyFont="1" applyAlignment="1">
      <alignment vertical="top" wrapText="1"/>
    </xf>
    <xf numFmtId="0" fontId="7" fillId="0" borderId="0" xfId="0" applyFont="1"/>
    <xf numFmtId="0" fontId="5" fillId="0" borderId="0" xfId="0" applyFont="1"/>
    <xf numFmtId="0" fontId="8" fillId="3" borderId="0" xfId="0" applyFont="1" applyFill="1"/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9" fontId="6" fillId="0" borderId="0" xfId="0" applyNumberFormat="1" applyFont="1"/>
    <xf numFmtId="3" fontId="6" fillId="0" borderId="0" xfId="0" applyNumberFormat="1" applyFont="1"/>
    <xf numFmtId="3" fontId="5" fillId="0" borderId="0" xfId="0" applyNumberFormat="1" applyFont="1"/>
    <xf numFmtId="0" fontId="14" fillId="0" borderId="0" xfId="0" applyFont="1" applyAlignment="1">
      <alignment vertical="top" wrapText="1"/>
    </xf>
    <xf numFmtId="3" fontId="7" fillId="0" borderId="0" xfId="0" applyNumberFormat="1" applyFont="1"/>
    <xf numFmtId="0" fontId="7" fillId="3" borderId="0" xfId="0" applyFont="1" applyFill="1"/>
    <xf numFmtId="3" fontId="7" fillId="3" borderId="0" xfId="0" applyNumberFormat="1" applyFont="1" applyFill="1"/>
    <xf numFmtId="0" fontId="16" fillId="2" borderId="0" xfId="0" applyFont="1" applyFill="1"/>
    <xf numFmtId="0" fontId="18" fillId="2" borderId="0" xfId="0" applyFont="1" applyFill="1"/>
    <xf numFmtId="0" fontId="18" fillId="0" borderId="0" xfId="0" applyFont="1"/>
    <xf numFmtId="0" fontId="19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20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166" fontId="5" fillId="0" borderId="0" xfId="0" applyNumberFormat="1" applyFont="1"/>
    <xf numFmtId="166" fontId="7" fillId="0" borderId="0" xfId="0" applyNumberFormat="1" applyFont="1"/>
    <xf numFmtId="0" fontId="18" fillId="2" borderId="0" xfId="0" applyFont="1" applyFill="1" applyAlignment="1">
      <alignment vertical="top" wrapText="1"/>
    </xf>
    <xf numFmtId="0" fontId="23" fillId="0" borderId="0" xfId="0" applyFont="1"/>
    <xf numFmtId="3" fontId="5" fillId="4" borderId="0" xfId="0" applyNumberFormat="1" applyFont="1" applyFill="1"/>
    <xf numFmtId="0" fontId="0" fillId="0" borderId="0" xfId="0" applyAlignment="1">
      <alignment vertical="top"/>
    </xf>
    <xf numFmtId="0" fontId="8" fillId="3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7" fillId="3" borderId="0" xfId="0" applyFont="1" applyFill="1" applyAlignment="1">
      <alignment vertical="top"/>
    </xf>
    <xf numFmtId="0" fontId="15" fillId="2" borderId="0" xfId="0" applyFont="1" applyFill="1" applyAlignment="1">
      <alignment vertical="top"/>
    </xf>
    <xf numFmtId="0" fontId="0" fillId="2" borderId="0" xfId="0" applyFill="1" applyAlignment="1">
      <alignment vertical="top"/>
    </xf>
    <xf numFmtId="0" fontId="20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24" fillId="0" borderId="0" xfId="0" applyFont="1"/>
    <xf numFmtId="3" fontId="16" fillId="2" borderId="0" xfId="0" applyNumberFormat="1" applyFont="1" applyFill="1"/>
    <xf numFmtId="0" fontId="24" fillId="2" borderId="0" xfId="0" applyFont="1" applyFill="1"/>
    <xf numFmtId="43" fontId="5" fillId="0" borderId="0" xfId="1" applyFont="1"/>
    <xf numFmtId="43" fontId="7" fillId="3" borderId="0" xfId="1" applyFont="1" applyFill="1"/>
    <xf numFmtId="43" fontId="6" fillId="0" borderId="0" xfId="1" applyFont="1"/>
    <xf numFmtId="167" fontId="24" fillId="0" borderId="0" xfId="1" applyNumberFormat="1" applyFont="1"/>
    <xf numFmtId="167" fontId="25" fillId="3" borderId="0" xfId="1" applyNumberFormat="1" applyFont="1" applyFill="1"/>
    <xf numFmtId="167" fontId="5" fillId="0" borderId="0" xfId="1" applyNumberFormat="1" applyFont="1"/>
    <xf numFmtId="167" fontId="7" fillId="0" borderId="0" xfId="1" applyNumberFormat="1" applyFont="1"/>
    <xf numFmtId="167" fontId="7" fillId="3" borderId="0" xfId="1" applyNumberFormat="1" applyFont="1" applyFill="1"/>
    <xf numFmtId="167" fontId="16" fillId="2" borderId="0" xfId="1" applyNumberFormat="1" applyFont="1" applyFill="1"/>
    <xf numFmtId="167" fontId="24" fillId="2" borderId="0" xfId="1" applyNumberFormat="1" applyFont="1" applyFill="1"/>
    <xf numFmtId="167" fontId="17" fillId="0" borderId="0" xfId="1" applyNumberFormat="1" applyFont="1"/>
    <xf numFmtId="167" fontId="26" fillId="0" borderId="0" xfId="1" applyNumberFormat="1" applyFont="1"/>
    <xf numFmtId="167" fontId="6" fillId="0" borderId="0" xfId="1" applyNumberFormat="1" applyFont="1"/>
    <xf numFmtId="167" fontId="27" fillId="0" borderId="0" xfId="1" applyNumberFormat="1" applyFont="1"/>
    <xf numFmtId="167" fontId="22" fillId="0" borderId="0" xfId="1" applyNumberFormat="1" applyFont="1"/>
    <xf numFmtId="167" fontId="28" fillId="0" borderId="0" xfId="1" applyNumberFormat="1" applyFont="1"/>
    <xf numFmtId="167" fontId="29" fillId="2" borderId="0" xfId="1" applyNumberFormat="1" applyFont="1" applyFill="1" applyAlignment="1">
      <alignment horizontal="right"/>
    </xf>
    <xf numFmtId="0" fontId="21" fillId="5" borderId="0" xfId="0" applyFont="1" applyFill="1" applyAlignment="1">
      <alignment vertical="top"/>
    </xf>
    <xf numFmtId="0" fontId="0" fillId="5" borderId="0" xfId="0" applyFill="1"/>
    <xf numFmtId="167" fontId="30" fillId="5" borderId="0" xfId="0" applyNumberFormat="1" applyFont="1" applyFill="1"/>
    <xf numFmtId="0" fontId="7" fillId="5" borderId="0" xfId="0" applyFont="1" applyFill="1" applyAlignment="1">
      <alignment vertical="top"/>
    </xf>
    <xf numFmtId="167" fontId="7" fillId="5" borderId="0" xfId="1" applyNumberFormat="1" applyFont="1" applyFill="1"/>
    <xf numFmtId="0" fontId="31" fillId="6" borderId="0" xfId="0" applyFont="1" applyFill="1" applyAlignment="1">
      <alignment vertical="top"/>
    </xf>
    <xf numFmtId="0" fontId="2" fillId="6" borderId="0" xfId="0" applyFont="1" applyFill="1"/>
    <xf numFmtId="167" fontId="31" fillId="6" borderId="0" xfId="1" applyNumberFormat="1" applyFont="1" applyFill="1"/>
    <xf numFmtId="9" fontId="17" fillId="0" borderId="0" xfId="2" applyFont="1"/>
    <xf numFmtId="9" fontId="6" fillId="0" borderId="0" xfId="2" applyFont="1"/>
    <xf numFmtId="2" fontId="17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0" fontId="32" fillId="2" borderId="0" xfId="0" applyFont="1" applyFill="1" applyAlignment="1">
      <alignment horizontal="center"/>
    </xf>
    <xf numFmtId="0" fontId="32" fillId="2" borderId="0" xfId="0" applyFont="1" applyFill="1"/>
    <xf numFmtId="0" fontId="33" fillId="0" borderId="0" xfId="0" applyFont="1" applyAlignment="1">
      <alignment horizontal="center"/>
    </xf>
    <xf numFmtId="0" fontId="33" fillId="0" borderId="0" xfId="0" applyFont="1"/>
    <xf numFmtId="0" fontId="27" fillId="0" borderId="0" xfId="0" applyFont="1"/>
    <xf numFmtId="3" fontId="34" fillId="0" borderId="0" xfId="0" applyNumberFormat="1" applyFont="1"/>
    <xf numFmtId="164" fontId="34" fillId="0" borderId="0" xfId="0" applyNumberFormat="1" applyFont="1"/>
    <xf numFmtId="3" fontId="34" fillId="4" borderId="0" xfId="0" applyNumberFormat="1" applyFont="1" applyFill="1"/>
    <xf numFmtId="3" fontId="27" fillId="0" borderId="0" xfId="0" applyNumberFormat="1" applyFont="1"/>
    <xf numFmtId="164" fontId="27" fillId="0" borderId="0" xfId="0" applyNumberFormat="1" applyFont="1"/>
    <xf numFmtId="164" fontId="34" fillId="0" borderId="0" xfId="0" applyNumberFormat="1" applyFont="1" applyAlignment="1">
      <alignment vertical="top" wrapText="1"/>
    </xf>
    <xf numFmtId="4" fontId="27" fillId="0" borderId="0" xfId="0" applyNumberFormat="1" applyFont="1"/>
    <xf numFmtId="0" fontId="35" fillId="0" borderId="0" xfId="0" applyFont="1"/>
    <xf numFmtId="3" fontId="35" fillId="0" borderId="0" xfId="0" applyNumberFormat="1" applyFont="1"/>
    <xf numFmtId="3" fontId="27" fillId="4" borderId="0" xfId="0" applyNumberFormat="1" applyFont="1" applyFill="1"/>
    <xf numFmtId="3" fontId="35" fillId="3" borderId="0" xfId="0" applyNumberFormat="1" applyFont="1" applyFill="1"/>
    <xf numFmtId="165" fontId="34" fillId="0" borderId="0" xfId="0" applyNumberFormat="1" applyFont="1"/>
    <xf numFmtId="0" fontId="27" fillId="0" borderId="0" xfId="0" applyFont="1" applyAlignment="1">
      <alignment vertical="top" wrapText="1"/>
    </xf>
    <xf numFmtId="165" fontId="27" fillId="0" borderId="0" xfId="0" applyNumberFormat="1" applyFont="1"/>
    <xf numFmtId="9" fontId="34" fillId="0" borderId="0" xfId="0" applyNumberFormat="1" applyFont="1"/>
    <xf numFmtId="0" fontId="36" fillId="0" borderId="0" xfId="0" applyFont="1"/>
    <xf numFmtId="165" fontId="35" fillId="0" borderId="0" xfId="0" applyNumberFormat="1" applyFont="1"/>
    <xf numFmtId="0" fontId="6" fillId="0" borderId="0" xfId="0" applyFont="1"/>
    <xf numFmtId="0" fontId="37" fillId="0" borderId="0" xfId="0" applyFont="1"/>
    <xf numFmtId="0" fontId="38" fillId="0" borderId="0" xfId="0" applyFont="1"/>
    <xf numFmtId="0" fontId="39" fillId="3" borderId="0" xfId="0" applyFont="1" applyFill="1"/>
    <xf numFmtId="164" fontId="6" fillId="0" borderId="0" xfId="0" applyNumberFormat="1" applyFont="1"/>
    <xf numFmtId="164" fontId="7" fillId="0" borderId="0" xfId="0" applyNumberFormat="1" applyFont="1"/>
    <xf numFmtId="1" fontId="5" fillId="0" borderId="0" xfId="0" applyNumberFormat="1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19" fillId="0" borderId="0" xfId="0" applyFont="1"/>
    <xf numFmtId="10" fontId="44" fillId="0" borderId="0" xfId="0" applyNumberFormat="1" applyFont="1"/>
    <xf numFmtId="0" fontId="44" fillId="0" borderId="0" xfId="0" applyFont="1"/>
    <xf numFmtId="3" fontId="44" fillId="0" borderId="0" xfId="0" applyNumberFormat="1" applyFont="1"/>
    <xf numFmtId="10" fontId="45" fillId="0" borderId="0" xfId="0" applyNumberFormat="1" applyFont="1"/>
    <xf numFmtId="0" fontId="45" fillId="0" borderId="0" xfId="0" applyFont="1"/>
    <xf numFmtId="3" fontId="45" fillId="0" borderId="0" xfId="0" applyNumberFormat="1" applyFont="1"/>
    <xf numFmtId="3" fontId="43" fillId="0" borderId="0" xfId="0" applyNumberFormat="1" applyFont="1"/>
    <xf numFmtId="4" fontId="43" fillId="0" borderId="0" xfId="0" applyNumberFormat="1" applyFont="1"/>
    <xf numFmtId="4" fontId="45" fillId="0" borderId="0" xfId="0" applyNumberFormat="1" applyFont="1"/>
    <xf numFmtId="4" fontId="44" fillId="0" borderId="0" xfId="0" applyNumberFormat="1" applyFont="1"/>
    <xf numFmtId="10" fontId="43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4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2E53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hanatorn.jo/Downloads/IOH_Investor_Financial_Model_TH_v2.xlsx" TargetMode="External"/><Relationship Id="rId1" Type="http://schemas.openxmlformats.org/officeDocument/2006/relationships/externalLinkPath" Target="IOH_Investor_Financial_Model_TH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_of_Contents"/>
      <sheetName val="Cover"/>
      <sheetName val="CEO_Review_Memo"/>
      <sheetName val="Sources_and_Methodology"/>
      <sheetName val="Demand_and_Case_Mix"/>
      <sheetName val="CAPEX_Summary"/>
      <sheetName val="Space_Program"/>
      <sheetName val="Staffing_Summary"/>
      <sheetName val="Financial_Model"/>
      <sheetName val="Balance_Sheet"/>
      <sheetName val="Valuation_and_Funding"/>
      <sheetName val="Funding_Phases"/>
      <sheetName val="Downside_Sensitivity"/>
      <sheetName val="Bed_Expansion_KPI_Plan"/>
    </sheetNames>
    <sheetDataSet>
      <sheetData sheetId="0"/>
      <sheetData sheetId="1"/>
      <sheetData sheetId="2"/>
      <sheetData sheetId="3"/>
      <sheetData sheetId="4">
        <row r="14">
          <cell r="C14">
            <v>0.6</v>
          </cell>
        </row>
      </sheetData>
      <sheetData sheetId="5">
        <row r="17">
          <cell r="E17">
            <v>4070.3062491647997</v>
          </cell>
        </row>
        <row r="19">
          <cell r="E19">
            <v>503.1</v>
          </cell>
        </row>
        <row r="20">
          <cell r="E20">
            <v>200</v>
          </cell>
        </row>
        <row r="22">
          <cell r="E22">
            <v>5073.4062491648001</v>
          </cell>
        </row>
      </sheetData>
      <sheetData sheetId="6"/>
      <sheetData sheetId="7">
        <row r="10">
          <cell r="E10">
            <v>217.92599999999999</v>
          </cell>
          <cell r="F10">
            <v>374.053</v>
          </cell>
        </row>
        <row r="46">
          <cell r="E46">
            <v>198.85999999999999</v>
          </cell>
          <cell r="F46">
            <v>338.76</v>
          </cell>
        </row>
      </sheetData>
      <sheetData sheetId="8"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-135.67687497215999</v>
          </cell>
          <cell r="H124">
            <v>-135.67687497215999</v>
          </cell>
          <cell r="I124">
            <v>-135.67687497215999</v>
          </cell>
          <cell r="J124">
            <v>-135.67687497215999</v>
          </cell>
          <cell r="K124">
            <v>-135.67687497215999</v>
          </cell>
          <cell r="L124">
            <v>-135.67687497215999</v>
          </cell>
          <cell r="M124">
            <v>-135.67687497215999</v>
          </cell>
          <cell r="N124">
            <v>-135.67687497215999</v>
          </cell>
          <cell r="O124">
            <v>-135.67687497215999</v>
          </cell>
          <cell r="P124">
            <v>-135.67687497215999</v>
          </cell>
          <cell r="Q124">
            <v>-135.67687497215999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-41.5</v>
          </cell>
          <cell r="G128">
            <v>-321.7905625015718</v>
          </cell>
          <cell r="H128">
            <v>-229.19588250157176</v>
          </cell>
          <cell r="I128">
            <v>40.974606792545956</v>
          </cell>
          <cell r="J128">
            <v>555.74599208666348</v>
          </cell>
          <cell r="K128">
            <v>1425.8314650278398</v>
          </cell>
          <cell r="L128">
            <v>1863.3288130278409</v>
          </cell>
          <cell r="M128">
            <v>1823.3484714622725</v>
          </cell>
          <cell r="N128">
            <v>2041.5398775582721</v>
          </cell>
          <cell r="O128">
            <v>2041.5398775582721</v>
          </cell>
          <cell r="P128">
            <v>2041.5398775582721</v>
          </cell>
          <cell r="Q128">
            <v>2041.5398775582721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-41.5</v>
          </cell>
          <cell r="G129">
            <v>-186.11368752941181</v>
          </cell>
          <cell r="H129">
            <v>-93.519007529411766</v>
          </cell>
          <cell r="I129">
            <v>176.65148176470595</v>
          </cell>
          <cell r="J129">
            <v>691.4228670588235</v>
          </cell>
          <cell r="K129">
            <v>1561.5083399999999</v>
          </cell>
          <cell r="L129">
            <v>1999.0056880000009</v>
          </cell>
          <cell r="M129">
            <v>1959.0253464344325</v>
          </cell>
          <cell r="N129">
            <v>2177.2167525304321</v>
          </cell>
          <cell r="O129">
            <v>2177.2167525304321</v>
          </cell>
          <cell r="P129">
            <v>2177.2167525304321</v>
          </cell>
          <cell r="Q129">
            <v>2177.2167525304321</v>
          </cell>
        </row>
        <row r="134">
          <cell r="C134">
            <v>-203.51531245824</v>
          </cell>
          <cell r="D134">
            <v>-1017.5765622911999</v>
          </cell>
          <cell r="E134">
            <v>-1628.12249966592</v>
          </cell>
          <cell r="F134">
            <v>-1221.09187474944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40">
          <cell r="C140">
            <v>5073.4062491648001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-37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</row>
      </sheetData>
      <sheetData sheetId="9"/>
      <sheetData sheetId="10"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1117.9972878167046</v>
          </cell>
          <cell r="M76">
            <v>1094.0090828773634</v>
          </cell>
          <cell r="N76">
            <v>1224.9239265349631</v>
          </cell>
          <cell r="O76">
            <v>1224.9239265349631</v>
          </cell>
          <cell r="P76">
            <v>1224.9239265349631</v>
          </cell>
          <cell r="Q76">
            <v>1224.9239265349631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C516-DDD3-6E49-9652-100BC464490A}">
  <dimension ref="A2:H28"/>
  <sheetViews>
    <sheetView workbookViewId="0">
      <selection activeCell="L9" sqref="L9"/>
    </sheetView>
  </sheetViews>
  <sheetFormatPr baseColWidth="10" defaultRowHeight="16"/>
  <cols>
    <col min="1" max="1" width="2" customWidth="1"/>
    <col min="2" max="2" width="40" customWidth="1"/>
    <col min="3" max="8" width="14" customWidth="1"/>
    <col min="9" max="9" width="2" customWidth="1"/>
  </cols>
  <sheetData>
    <row r="2" spans="1:8" ht="18">
      <c r="B2" s="117" t="s">
        <v>407</v>
      </c>
      <c r="C2" s="117"/>
      <c r="D2" s="117"/>
      <c r="E2" s="117"/>
      <c r="F2" s="117"/>
      <c r="G2" s="117"/>
    </row>
    <row r="3" spans="1:8">
      <c r="B3" s="118" t="s">
        <v>408</v>
      </c>
      <c r="C3" s="118"/>
      <c r="D3" s="118"/>
      <c r="E3" s="118"/>
      <c r="F3" s="118"/>
      <c r="G3" s="118"/>
    </row>
    <row r="5" spans="1:8">
      <c r="A5" s="16" t="s">
        <v>409</v>
      </c>
      <c r="B5" s="2"/>
      <c r="C5" s="2"/>
      <c r="D5" s="2"/>
      <c r="E5" s="2"/>
      <c r="F5" s="2"/>
      <c r="G5" s="2"/>
      <c r="H5" s="2"/>
    </row>
    <row r="6" spans="1:8">
      <c r="B6" s="3" t="s">
        <v>410</v>
      </c>
      <c r="D6" s="95">
        <v>2400000</v>
      </c>
      <c r="E6" s="96"/>
    </row>
    <row r="7" spans="1:8" ht="28">
      <c r="B7" s="3" t="s">
        <v>411</v>
      </c>
      <c r="D7" s="95">
        <v>149.30000000000001</v>
      </c>
      <c r="E7" s="96"/>
    </row>
    <row r="8" spans="1:8" ht="28">
      <c r="B8" s="3" t="s">
        <v>412</v>
      </c>
      <c r="D8" s="95">
        <v>2.75</v>
      </c>
      <c r="E8" s="97" t="s">
        <v>413</v>
      </c>
    </row>
    <row r="9" spans="1:8">
      <c r="B9" s="4" t="s">
        <v>414</v>
      </c>
      <c r="D9" s="5">
        <f>D7*D8</f>
        <v>410.57500000000005</v>
      </c>
    </row>
    <row r="10" spans="1:8">
      <c r="B10" s="4" t="s">
        <v>415</v>
      </c>
      <c r="D10" s="5">
        <f>D6/100000*D9</f>
        <v>9853.8000000000011</v>
      </c>
    </row>
    <row r="12" spans="1:8">
      <c r="A12" s="16" t="s">
        <v>416</v>
      </c>
      <c r="B12" s="2"/>
      <c r="C12" s="2"/>
      <c r="D12" s="2"/>
      <c r="E12" s="2"/>
      <c r="F12" s="2"/>
      <c r="G12" s="2"/>
      <c r="H12" s="2"/>
    </row>
    <row r="13" spans="1:8">
      <c r="B13" s="6" t="s">
        <v>417</v>
      </c>
      <c r="C13" s="6" t="s">
        <v>418</v>
      </c>
      <c r="D13" s="6" t="s">
        <v>419</v>
      </c>
      <c r="E13" s="98" t="s">
        <v>420</v>
      </c>
    </row>
    <row r="14" spans="1:8" ht="52">
      <c r="B14" s="5" t="s">
        <v>421</v>
      </c>
      <c r="C14" s="99">
        <v>0.6</v>
      </c>
      <c r="D14" s="7" t="s">
        <v>422</v>
      </c>
      <c r="E14" s="95">
        <v>6</v>
      </c>
    </row>
    <row r="15" spans="1:8" ht="39">
      <c r="B15" s="5" t="s">
        <v>423</v>
      </c>
      <c r="C15" s="99">
        <v>0.15</v>
      </c>
      <c r="D15" s="8" t="s">
        <v>424</v>
      </c>
      <c r="E15" s="95">
        <v>6</v>
      </c>
    </row>
    <row r="16" spans="1:8" ht="26">
      <c r="B16" s="5" t="s">
        <v>425</v>
      </c>
      <c r="C16" s="99">
        <v>0.1</v>
      </c>
      <c r="D16" s="8" t="s">
        <v>426</v>
      </c>
      <c r="E16" s="95">
        <v>7</v>
      </c>
    </row>
    <row r="17" spans="1:8" ht="39">
      <c r="B17" s="5" t="s">
        <v>427</v>
      </c>
      <c r="C17" s="99">
        <v>7.4999999999999997E-2</v>
      </c>
      <c r="D17" s="8" t="s">
        <v>428</v>
      </c>
      <c r="E17" s="95">
        <v>4</v>
      </c>
    </row>
    <row r="18" spans="1:8" ht="39">
      <c r="B18" s="5" t="s">
        <v>429</v>
      </c>
      <c r="C18" s="99">
        <v>7.4999999999999997E-2</v>
      </c>
      <c r="D18" s="7" t="s">
        <v>430</v>
      </c>
      <c r="E18" s="95">
        <v>5</v>
      </c>
    </row>
    <row r="19" spans="1:8">
      <c r="B19" s="4" t="s">
        <v>0</v>
      </c>
      <c r="C19" s="100">
        <f>SUM(C14:C18)</f>
        <v>0.99999999999999989</v>
      </c>
      <c r="E19" s="4">
        <f>SUMPRODUCT(C14:C18,E14:E18)</f>
        <v>5.875</v>
      </c>
    </row>
    <row r="21" spans="1:8">
      <c r="A21" s="16" t="s">
        <v>431</v>
      </c>
      <c r="B21" s="2"/>
      <c r="C21" s="2"/>
      <c r="D21" s="2"/>
      <c r="E21" s="2"/>
      <c r="F21" s="2"/>
      <c r="G21" s="2"/>
      <c r="H21" s="2"/>
    </row>
    <row r="22" spans="1:8">
      <c r="B22" s="6" t="s">
        <v>432</v>
      </c>
      <c r="C22" s="6" t="s">
        <v>433</v>
      </c>
      <c r="D22" s="6" t="s">
        <v>434</v>
      </c>
      <c r="E22" s="6" t="s">
        <v>435</v>
      </c>
      <c r="F22" s="6" t="s">
        <v>436</v>
      </c>
      <c r="G22" s="6" t="s">
        <v>437</v>
      </c>
    </row>
    <row r="23" spans="1:8">
      <c r="B23" s="3" t="s">
        <v>438</v>
      </c>
      <c r="C23" s="95">
        <v>1500</v>
      </c>
      <c r="D23" s="95">
        <v>3000</v>
      </c>
      <c r="E23" s="9">
        <v>0.7</v>
      </c>
      <c r="F23" s="101">
        <f>C23*$E$19/(365*E23)</f>
        <v>34.491193737769088</v>
      </c>
      <c r="G23" s="101">
        <f>D23*$E$19/(365*E23)</f>
        <v>68.982387475538175</v>
      </c>
    </row>
    <row r="24" spans="1:8">
      <c r="B24" s="3" t="s">
        <v>439</v>
      </c>
      <c r="C24" s="95">
        <v>4000</v>
      </c>
      <c r="D24" s="95">
        <v>6000</v>
      </c>
      <c r="E24" s="9">
        <v>0.72</v>
      </c>
      <c r="F24" s="101">
        <f>C24*$E$19/(365*E24)</f>
        <v>89.421613394216124</v>
      </c>
      <c r="G24" s="101">
        <f>D24*$E$19/(365*E24)</f>
        <v>134.13242009132421</v>
      </c>
    </row>
    <row r="25" spans="1:8">
      <c r="B25" s="3" t="s">
        <v>440</v>
      </c>
      <c r="C25" s="95">
        <v>7000</v>
      </c>
      <c r="D25" s="95">
        <v>9000</v>
      </c>
      <c r="E25" s="9">
        <v>0.75</v>
      </c>
      <c r="F25" s="101">
        <f>C25*$E$19/(365*E25)</f>
        <v>150.22831050228311</v>
      </c>
      <c r="G25" s="101">
        <f>D25*$E$19/(365*E25)</f>
        <v>193.15068493150685</v>
      </c>
    </row>
    <row r="27" spans="1:8">
      <c r="A27" s="16" t="s">
        <v>441</v>
      </c>
      <c r="B27" s="2"/>
      <c r="C27" s="2"/>
      <c r="D27" s="2"/>
      <c r="E27" s="2"/>
      <c r="F27" s="2"/>
      <c r="G27" s="2"/>
      <c r="H27" s="2"/>
    </row>
    <row r="28" spans="1:8">
      <c r="B28" s="119" t="s">
        <v>442</v>
      </c>
      <c r="C28" s="119"/>
      <c r="D28" s="119"/>
      <c r="E28" s="119"/>
      <c r="F28" s="119"/>
      <c r="G28" s="119"/>
    </row>
  </sheetData>
  <mergeCells count="3">
    <mergeCell ref="B2:G2"/>
    <mergeCell ref="B3:G3"/>
    <mergeCell ref="B28:G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8176-79B8-8A45-8DBC-7D40ABB8931E}">
  <dimension ref="A2:H56"/>
  <sheetViews>
    <sheetView zoomScale="130" zoomScaleNormal="130" workbookViewId="0">
      <selection activeCell="H7" sqref="H7"/>
    </sheetView>
  </sheetViews>
  <sheetFormatPr baseColWidth="10" defaultColWidth="8.6640625" defaultRowHeight="16"/>
  <cols>
    <col min="1" max="1" width="2" customWidth="1"/>
    <col min="2" max="2" width="34" customWidth="1"/>
    <col min="3" max="6" width="24.83203125" customWidth="1"/>
    <col min="7" max="7" width="2" customWidth="1"/>
  </cols>
  <sheetData>
    <row r="2" spans="1:8" ht="17.25" customHeight="1">
      <c r="B2" s="117" t="s">
        <v>217</v>
      </c>
      <c r="C2" s="117"/>
      <c r="D2" s="117"/>
      <c r="E2" s="117"/>
      <c r="F2" s="117"/>
    </row>
    <row r="3" spans="1:8" ht="15" customHeight="1">
      <c r="B3" s="120" t="s">
        <v>166</v>
      </c>
      <c r="C3" s="120"/>
      <c r="D3" s="120"/>
      <c r="E3" s="120"/>
      <c r="F3" s="120"/>
    </row>
    <row r="5" spans="1:8" ht="30" customHeight="1">
      <c r="B5" s="20" t="s">
        <v>2</v>
      </c>
      <c r="C5" s="20" t="s">
        <v>167</v>
      </c>
      <c r="D5" s="20" t="s">
        <v>168</v>
      </c>
      <c r="E5" s="20" t="s">
        <v>169</v>
      </c>
      <c r="F5" s="20" t="s">
        <v>170</v>
      </c>
    </row>
    <row r="6" spans="1:8" ht="15" customHeight="1">
      <c r="B6" s="5" t="s">
        <v>171</v>
      </c>
      <c r="C6" s="55">
        <v>30</v>
      </c>
      <c r="D6" s="55">
        <v>47</v>
      </c>
      <c r="E6" s="45">
        <v>134</v>
      </c>
      <c r="F6" s="45">
        <v>206</v>
      </c>
    </row>
    <row r="7" spans="1:8" ht="15" customHeight="1">
      <c r="B7" s="5" t="s">
        <v>172</v>
      </c>
      <c r="C7" s="55">
        <v>72</v>
      </c>
      <c r="D7" s="55">
        <v>156</v>
      </c>
      <c r="E7" s="45">
        <v>45</v>
      </c>
      <c r="F7" s="45">
        <v>97</v>
      </c>
      <c r="H7" t="s">
        <v>489</v>
      </c>
    </row>
    <row r="8" spans="1:8" ht="15" customHeight="1">
      <c r="B8" s="5" t="s">
        <v>173</v>
      </c>
      <c r="C8" s="55">
        <f>C56</f>
        <v>44</v>
      </c>
      <c r="D8" s="55">
        <f>D56</f>
        <v>78</v>
      </c>
      <c r="E8" s="45">
        <f>E56</f>
        <v>21.5</v>
      </c>
      <c r="F8" s="45">
        <f>F56</f>
        <v>38.125</v>
      </c>
    </row>
    <row r="9" spans="1:8" ht="15" customHeight="1">
      <c r="B9" s="5" t="s">
        <v>174</v>
      </c>
      <c r="C9" s="55">
        <f>C45</f>
        <v>56</v>
      </c>
      <c r="D9" s="55">
        <f>D45</f>
        <v>108</v>
      </c>
      <c r="E9" s="45">
        <f>E45</f>
        <v>19.5</v>
      </c>
      <c r="F9" s="45">
        <f>F45</f>
        <v>38</v>
      </c>
    </row>
    <row r="10" spans="1:8" ht="15" customHeight="1">
      <c r="B10" s="14" t="s">
        <v>0</v>
      </c>
      <c r="C10" s="50">
        <f>SUM(C6:C9)</f>
        <v>202</v>
      </c>
      <c r="D10" s="50">
        <f>SUM(D6:D9)</f>
        <v>389</v>
      </c>
      <c r="E10" s="44">
        <f>SUM(E6:E9)</f>
        <v>220</v>
      </c>
      <c r="F10" s="44">
        <f>SUM(F6:F9)</f>
        <v>379.125</v>
      </c>
    </row>
    <row r="12" spans="1:8" ht="19.5" customHeight="1">
      <c r="A12" s="16" t="s">
        <v>175</v>
      </c>
      <c r="B12" s="2"/>
      <c r="C12" s="2"/>
      <c r="D12" s="2"/>
      <c r="E12" s="2"/>
      <c r="F12" s="2"/>
      <c r="G12" s="2"/>
    </row>
    <row r="13" spans="1:8" ht="79.5" customHeight="1">
      <c r="B13" s="119" t="s">
        <v>176</v>
      </c>
      <c r="C13" s="119"/>
      <c r="D13" s="119"/>
      <c r="E13" s="119"/>
      <c r="F13" s="119"/>
    </row>
    <row r="15" spans="1:8" ht="15" customHeight="1">
      <c r="B15" s="5" t="s">
        <v>177</v>
      </c>
      <c r="E15" s="70">
        <f>C10/65</f>
        <v>3.1076923076923078</v>
      </c>
    </row>
    <row r="16" spans="1:8" ht="15" customHeight="1">
      <c r="B16" s="5" t="s">
        <v>178</v>
      </c>
      <c r="E16" s="70">
        <f>D10/150</f>
        <v>2.5933333333333333</v>
      </c>
    </row>
    <row r="17" spans="1:7" ht="72.75" customHeight="1">
      <c r="B17" s="19" t="s">
        <v>179</v>
      </c>
    </row>
    <row r="18" spans="1:7" ht="15" customHeight="1">
      <c r="A18" s="16" t="s">
        <v>180</v>
      </c>
      <c r="B18" s="2"/>
      <c r="C18" s="2"/>
      <c r="D18" s="2"/>
      <c r="E18" s="2"/>
      <c r="F18" s="2"/>
      <c r="G18" s="2"/>
    </row>
    <row r="20" spans="1:7" ht="15" customHeight="1">
      <c r="B20" s="6" t="s">
        <v>181</v>
      </c>
      <c r="C20" s="6" t="s">
        <v>182</v>
      </c>
    </row>
    <row r="21" spans="1:7" ht="21.75" customHeight="1">
      <c r="B21" s="7" t="s">
        <v>183</v>
      </c>
      <c r="C21" s="7" t="s">
        <v>184</v>
      </c>
    </row>
    <row r="22" spans="1:7" ht="21.75" customHeight="1">
      <c r="B22" s="7" t="s">
        <v>185</v>
      </c>
      <c r="C22" s="7" t="s">
        <v>186</v>
      </c>
    </row>
    <row r="23" spans="1:7" ht="21.75" customHeight="1">
      <c r="B23" s="7" t="s">
        <v>187</v>
      </c>
      <c r="C23" s="7" t="s">
        <v>188</v>
      </c>
    </row>
    <row r="24" spans="1:7" ht="21.75" customHeight="1">
      <c r="B24" s="7" t="s">
        <v>189</v>
      </c>
      <c r="C24" s="7" t="s">
        <v>188</v>
      </c>
    </row>
    <row r="25" spans="1:7" ht="21.75" customHeight="1">
      <c r="B25" s="7" t="s">
        <v>190</v>
      </c>
      <c r="C25" s="7" t="s">
        <v>188</v>
      </c>
    </row>
    <row r="27" spans="1:7" ht="15" customHeight="1">
      <c r="B27" s="16" t="s">
        <v>205</v>
      </c>
      <c r="C27" s="17"/>
      <c r="D27" s="17"/>
      <c r="E27" s="17"/>
      <c r="F27" s="17"/>
      <c r="G27" s="18"/>
    </row>
    <row r="28" spans="1:7" ht="53.25" customHeight="1">
      <c r="A28" s="18"/>
      <c r="B28" s="7" t="s">
        <v>206</v>
      </c>
      <c r="C28" s="18"/>
      <c r="D28" s="18"/>
      <c r="E28" s="18"/>
      <c r="F28" s="18"/>
      <c r="G28" s="18"/>
    </row>
    <row r="29" spans="1:7" ht="15" customHeight="1">
      <c r="A29" s="18"/>
      <c r="B29" s="6" t="s">
        <v>2</v>
      </c>
      <c r="C29" s="6"/>
      <c r="D29" s="6"/>
      <c r="E29" s="6" t="s">
        <v>193</v>
      </c>
      <c r="F29" s="6" t="s">
        <v>194</v>
      </c>
      <c r="G29" s="18"/>
    </row>
    <row r="30" spans="1:7" ht="21.75" customHeight="1">
      <c r="A30" s="18"/>
      <c r="B30" s="7" t="s">
        <v>207</v>
      </c>
      <c r="C30" s="18"/>
      <c r="D30" s="18"/>
      <c r="E30" s="43">
        <f>SUM(E6:E8)</f>
        <v>200.5</v>
      </c>
      <c r="F30" s="43">
        <f>SUM(F6:F8)</f>
        <v>341.125</v>
      </c>
      <c r="G30" s="18"/>
    </row>
    <row r="31" spans="1:7" ht="21.75" customHeight="1">
      <c r="A31" s="18"/>
      <c r="B31" s="7" t="s">
        <v>208</v>
      </c>
      <c r="C31" s="18"/>
      <c r="D31" s="18"/>
      <c r="E31" s="43">
        <f>E9</f>
        <v>19.5</v>
      </c>
      <c r="F31" s="43">
        <f>F9</f>
        <v>38</v>
      </c>
      <c r="G31" s="18"/>
    </row>
    <row r="33" spans="1:7" ht="15" customHeight="1">
      <c r="B33" s="16" t="s">
        <v>174</v>
      </c>
      <c r="C33" s="17"/>
      <c r="D33" s="17"/>
      <c r="E33" s="17"/>
      <c r="F33" s="17"/>
      <c r="G33" s="18"/>
    </row>
    <row r="34" spans="1:7" ht="15" customHeight="1">
      <c r="A34" s="18"/>
      <c r="B34" s="6" t="s">
        <v>181</v>
      </c>
      <c r="C34" s="6" t="s">
        <v>191</v>
      </c>
      <c r="D34" s="6" t="s">
        <v>192</v>
      </c>
      <c r="E34" s="6" t="s">
        <v>193</v>
      </c>
      <c r="F34" s="6" t="s">
        <v>194</v>
      </c>
      <c r="G34" s="18"/>
    </row>
    <row r="35" spans="1:7" ht="15" customHeight="1">
      <c r="A35" s="18"/>
      <c r="B35" s="7" t="s">
        <v>195</v>
      </c>
      <c r="C35" s="10">
        <v>4</v>
      </c>
      <c r="D35" s="10">
        <v>8</v>
      </c>
      <c r="E35" s="71">
        <v>2</v>
      </c>
      <c r="F35" s="71">
        <f>E35*(D35/C35)</f>
        <v>4</v>
      </c>
      <c r="G35" s="18"/>
    </row>
    <row r="36" spans="1:7" ht="15" customHeight="1">
      <c r="A36" s="18"/>
      <c r="B36" s="7" t="s">
        <v>196</v>
      </c>
      <c r="C36" s="10">
        <v>3</v>
      </c>
      <c r="D36" s="10">
        <v>6</v>
      </c>
      <c r="E36" s="71">
        <v>1</v>
      </c>
      <c r="F36" s="71">
        <f t="shared" ref="F36:F44" si="0">E36*(D36/C36)</f>
        <v>2</v>
      </c>
      <c r="G36" s="18"/>
    </row>
    <row r="37" spans="1:7" ht="15" customHeight="1">
      <c r="A37" s="18"/>
      <c r="B37" s="8" t="s">
        <v>197</v>
      </c>
      <c r="C37" s="10">
        <v>4</v>
      </c>
      <c r="D37" s="10">
        <v>8</v>
      </c>
      <c r="E37" s="71">
        <v>2.5</v>
      </c>
      <c r="F37" s="71">
        <f t="shared" si="0"/>
        <v>5</v>
      </c>
      <c r="G37" s="18"/>
    </row>
    <row r="38" spans="1:7" ht="15" customHeight="1">
      <c r="A38" s="18"/>
      <c r="B38" s="7" t="s">
        <v>198</v>
      </c>
      <c r="C38" s="10">
        <v>5</v>
      </c>
      <c r="D38" s="10">
        <v>10</v>
      </c>
      <c r="E38" s="71">
        <v>1.5</v>
      </c>
      <c r="F38" s="71">
        <f t="shared" si="0"/>
        <v>3</v>
      </c>
      <c r="G38" s="18"/>
    </row>
    <row r="39" spans="1:7" ht="15" customHeight="1">
      <c r="A39" s="18"/>
      <c r="B39" s="7" t="s">
        <v>199</v>
      </c>
      <c r="C39" s="10">
        <v>12</v>
      </c>
      <c r="D39" s="10">
        <v>22</v>
      </c>
      <c r="E39" s="71">
        <v>3</v>
      </c>
      <c r="F39" s="71">
        <f t="shared" si="0"/>
        <v>5.5</v>
      </c>
      <c r="G39" s="18"/>
    </row>
    <row r="40" spans="1:7" ht="21.75" customHeight="1">
      <c r="A40" s="18"/>
      <c r="B40" s="7" t="s">
        <v>200</v>
      </c>
      <c r="C40" s="10">
        <v>8</v>
      </c>
      <c r="D40" s="10">
        <v>14</v>
      </c>
      <c r="E40" s="71">
        <v>2</v>
      </c>
      <c r="F40" s="71">
        <f t="shared" si="0"/>
        <v>3.5</v>
      </c>
      <c r="G40" s="18"/>
    </row>
    <row r="41" spans="1:7" ht="15" customHeight="1">
      <c r="A41" s="18"/>
      <c r="B41" s="7" t="s">
        <v>201</v>
      </c>
      <c r="C41" s="10">
        <v>3</v>
      </c>
      <c r="D41" s="10">
        <v>6</v>
      </c>
      <c r="E41" s="71">
        <v>1</v>
      </c>
      <c r="F41" s="71">
        <f t="shared" si="0"/>
        <v>2</v>
      </c>
      <c r="G41" s="18"/>
    </row>
    <row r="42" spans="1:7" ht="15" customHeight="1">
      <c r="A42" s="18"/>
      <c r="B42" s="7" t="s">
        <v>202</v>
      </c>
      <c r="C42" s="10">
        <v>6</v>
      </c>
      <c r="D42" s="10">
        <v>12</v>
      </c>
      <c r="E42" s="71">
        <v>2.5</v>
      </c>
      <c r="F42" s="71">
        <f t="shared" si="0"/>
        <v>5</v>
      </c>
      <c r="G42" s="18"/>
    </row>
    <row r="43" spans="1:7" ht="15" customHeight="1">
      <c r="A43" s="18"/>
      <c r="B43" s="7" t="s">
        <v>203</v>
      </c>
      <c r="C43" s="10">
        <v>5</v>
      </c>
      <c r="D43" s="10">
        <v>10</v>
      </c>
      <c r="E43" s="71">
        <v>2</v>
      </c>
      <c r="F43" s="71">
        <f t="shared" si="0"/>
        <v>4</v>
      </c>
      <c r="G43" s="18"/>
    </row>
    <row r="44" spans="1:7" ht="21.75" customHeight="1">
      <c r="A44" s="18"/>
      <c r="B44" s="8" t="s">
        <v>204</v>
      </c>
      <c r="C44" s="10">
        <v>6</v>
      </c>
      <c r="D44" s="10">
        <v>12</v>
      </c>
      <c r="E44" s="71">
        <v>2</v>
      </c>
      <c r="F44" s="71">
        <f t="shared" si="0"/>
        <v>4</v>
      </c>
      <c r="G44" s="18"/>
    </row>
    <row r="45" spans="1:7" ht="15" customHeight="1">
      <c r="A45" s="18"/>
      <c r="B45" s="23" t="s">
        <v>0</v>
      </c>
      <c r="C45" s="13">
        <f>SUM(C35:C44)</f>
        <v>56</v>
      </c>
      <c r="D45" s="13">
        <f>SUM(D35:D44)</f>
        <v>108</v>
      </c>
      <c r="E45" s="72">
        <f>SUM(E35:E44)</f>
        <v>19.5</v>
      </c>
      <c r="F45" s="72">
        <f>SUM(F35:F44)</f>
        <v>38</v>
      </c>
      <c r="G45" s="18"/>
    </row>
    <row r="46" spans="1:7" ht="15" customHeight="1">
      <c r="A46" s="18"/>
      <c r="B46" s="18"/>
      <c r="C46" s="18"/>
      <c r="D46" s="18"/>
      <c r="E46" s="18"/>
      <c r="F46" s="18"/>
      <c r="G46" s="18"/>
    </row>
    <row r="47" spans="1:7" ht="15" customHeight="1">
      <c r="B47" s="16" t="s">
        <v>218</v>
      </c>
      <c r="C47" s="17"/>
      <c r="D47" s="17"/>
      <c r="E47" s="17"/>
      <c r="F47" s="17"/>
      <c r="G47" s="18"/>
    </row>
    <row r="48" spans="1:7" ht="32.25" customHeight="1">
      <c r="A48" s="18"/>
      <c r="B48" s="20" t="s">
        <v>118</v>
      </c>
      <c r="C48" s="6" t="s">
        <v>209</v>
      </c>
      <c r="D48" s="6" t="s">
        <v>192</v>
      </c>
      <c r="E48" s="6" t="s">
        <v>193</v>
      </c>
      <c r="F48" s="6" t="s">
        <v>194</v>
      </c>
      <c r="G48" s="18"/>
    </row>
    <row r="49" spans="1:7" ht="28">
      <c r="A49" s="18"/>
      <c r="B49" s="3" t="s">
        <v>210</v>
      </c>
      <c r="C49" s="10">
        <v>8</v>
      </c>
      <c r="D49" s="10">
        <v>14</v>
      </c>
      <c r="E49" s="71">
        <v>3.5</v>
      </c>
      <c r="F49" s="71">
        <f>E49*(D49/C49)</f>
        <v>6.125</v>
      </c>
      <c r="G49" s="18"/>
    </row>
    <row r="50" spans="1:7" ht="42">
      <c r="B50" s="3" t="s">
        <v>211</v>
      </c>
      <c r="C50" s="10">
        <v>7</v>
      </c>
      <c r="D50" s="10">
        <v>13</v>
      </c>
      <c r="E50" s="71">
        <v>3.5</v>
      </c>
      <c r="F50" s="71">
        <f t="shared" ref="F50:F55" si="1">E50*(D50/C50)</f>
        <v>6.5</v>
      </c>
    </row>
    <row r="51" spans="1:7" ht="28">
      <c r="B51" s="3" t="s">
        <v>212</v>
      </c>
      <c r="C51" s="10">
        <v>9</v>
      </c>
      <c r="D51" s="10">
        <v>16</v>
      </c>
      <c r="E51" s="71">
        <f>C51*500000/1000000</f>
        <v>4.5</v>
      </c>
      <c r="F51" s="71">
        <f t="shared" si="1"/>
        <v>8</v>
      </c>
    </row>
    <row r="52" spans="1:7" ht="28">
      <c r="B52" s="3" t="s">
        <v>213</v>
      </c>
      <c r="C52" s="10">
        <v>5</v>
      </c>
      <c r="D52" s="10">
        <v>9</v>
      </c>
      <c r="E52" s="71">
        <v>2.5</v>
      </c>
      <c r="F52" s="71">
        <f t="shared" si="1"/>
        <v>4.5</v>
      </c>
    </row>
    <row r="53" spans="1:7" ht="42">
      <c r="B53" s="3" t="s">
        <v>214</v>
      </c>
      <c r="C53" s="10">
        <v>10</v>
      </c>
      <c r="D53" s="10">
        <v>18</v>
      </c>
      <c r="E53" s="71">
        <v>5</v>
      </c>
      <c r="F53" s="71">
        <f t="shared" si="1"/>
        <v>9</v>
      </c>
    </row>
    <row r="54" spans="1:7" ht="28">
      <c r="B54" s="3" t="s">
        <v>215</v>
      </c>
      <c r="C54" s="10">
        <v>3</v>
      </c>
      <c r="D54" s="10">
        <v>5</v>
      </c>
      <c r="E54" s="71">
        <v>1.5</v>
      </c>
      <c r="F54" s="71">
        <f t="shared" si="1"/>
        <v>2.5</v>
      </c>
    </row>
    <row r="55" spans="1:7">
      <c r="B55" s="3" t="s">
        <v>216</v>
      </c>
      <c r="C55" s="10">
        <v>2</v>
      </c>
      <c r="D55" s="10">
        <v>3</v>
      </c>
      <c r="E55" s="71">
        <v>1</v>
      </c>
      <c r="F55" s="71">
        <f t="shared" si="1"/>
        <v>1.5</v>
      </c>
    </row>
    <row r="56" spans="1:7">
      <c r="B56" s="4" t="s">
        <v>0</v>
      </c>
      <c r="C56" s="13">
        <f>SUM(C49:C55)</f>
        <v>44</v>
      </c>
      <c r="D56" s="13">
        <f>SUM(D49:D55)</f>
        <v>78</v>
      </c>
      <c r="E56" s="72">
        <f>SUM(E49:E55)</f>
        <v>21.5</v>
      </c>
      <c r="F56" s="72">
        <f>SUM(F49:F55)</f>
        <v>38.125</v>
      </c>
    </row>
  </sheetData>
  <mergeCells count="3">
    <mergeCell ref="B2:F2"/>
    <mergeCell ref="B3:F3"/>
    <mergeCell ref="B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3843-DB84-5C4E-9A49-2059DD3D72F5}">
  <dimension ref="A1:F127"/>
  <sheetViews>
    <sheetView zoomScale="120" zoomScaleNormal="120" workbookViewId="0">
      <selection activeCell="E15" sqref="E15"/>
    </sheetView>
  </sheetViews>
  <sheetFormatPr baseColWidth="10" defaultRowHeight="16"/>
  <cols>
    <col min="1" max="1" width="2.5" customWidth="1"/>
    <col min="2" max="2" width="97.6640625" style="29" customWidth="1"/>
    <col min="3" max="4" width="14" customWidth="1"/>
    <col min="5" max="5" width="14" style="46" customWidth="1"/>
    <col min="6" max="6" width="44" customWidth="1"/>
  </cols>
  <sheetData>
    <row r="1" spans="2:6" ht="18">
      <c r="B1" s="117" t="s">
        <v>1</v>
      </c>
      <c r="C1" s="117"/>
      <c r="D1" s="117"/>
      <c r="E1" s="117"/>
      <c r="F1" s="117"/>
    </row>
    <row r="3" spans="2:6">
      <c r="B3" s="30" t="s">
        <v>2</v>
      </c>
      <c r="C3" s="6" t="s">
        <v>3</v>
      </c>
      <c r="D3" s="6" t="s">
        <v>4</v>
      </c>
      <c r="E3" s="47" t="s">
        <v>5</v>
      </c>
      <c r="F3" s="6" t="s">
        <v>6</v>
      </c>
    </row>
    <row r="4" spans="2:6" ht="24">
      <c r="B4" s="3" t="s">
        <v>158</v>
      </c>
      <c r="C4" s="10">
        <v>1179.5999999999999</v>
      </c>
      <c r="D4" s="10">
        <v>1748.4</v>
      </c>
      <c r="E4" s="48">
        <f>AVERAGE(C4:D4)</f>
        <v>1464</v>
      </c>
      <c r="F4" s="12" t="s">
        <v>7</v>
      </c>
    </row>
    <row r="5" spans="2:6" ht="36">
      <c r="B5" s="3" t="s">
        <v>159</v>
      </c>
      <c r="C5" s="10">
        <v>291.60000000000002</v>
      </c>
      <c r="D5" s="10">
        <v>435.6</v>
      </c>
      <c r="E5" s="48">
        <f>AVERAGE(C5:D5)</f>
        <v>363.6</v>
      </c>
      <c r="F5" s="12" t="s">
        <v>8</v>
      </c>
    </row>
    <row r="6" spans="2:6">
      <c r="B6" s="3" t="s">
        <v>9</v>
      </c>
      <c r="C6" s="10">
        <v>75.599999999999994</v>
      </c>
      <c r="D6" s="10">
        <v>123.6</v>
      </c>
      <c r="E6" s="48">
        <f>AVERAGE(C6:D6)</f>
        <v>99.6</v>
      </c>
      <c r="F6" s="12" t="s">
        <v>10</v>
      </c>
    </row>
    <row r="7" spans="2:6">
      <c r="B7" s="3" t="s">
        <v>11</v>
      </c>
      <c r="C7" s="10">
        <v>168</v>
      </c>
      <c r="D7" s="10">
        <v>275</v>
      </c>
      <c r="E7" s="48">
        <f>AVERAGE(C7:D7)</f>
        <v>221.5</v>
      </c>
      <c r="F7" s="12" t="s">
        <v>12</v>
      </c>
    </row>
    <row r="8" spans="2:6">
      <c r="B8" s="31" t="s">
        <v>13</v>
      </c>
      <c r="C8" s="13">
        <f>SUM(C4:C7)</f>
        <v>1714.7999999999997</v>
      </c>
      <c r="D8" s="13">
        <f>SUM(D4:D7)</f>
        <v>2582.6</v>
      </c>
      <c r="E8" s="49">
        <f>SUM(E4:E7)</f>
        <v>2148.6999999999998</v>
      </c>
    </row>
    <row r="9" spans="2:6">
      <c r="B9" s="32" t="s">
        <v>14</v>
      </c>
      <c r="C9" s="11">
        <f>C8*0.12</f>
        <v>205.77599999999995</v>
      </c>
      <c r="D9" s="11">
        <f>D8*0.12</f>
        <v>309.91199999999998</v>
      </c>
      <c r="E9" s="48">
        <f>E8*0.12</f>
        <v>257.84399999999999</v>
      </c>
    </row>
    <row r="10" spans="2:6">
      <c r="B10" s="31" t="s">
        <v>15</v>
      </c>
      <c r="C10" s="13">
        <f>C8+C9+(C8+C9)*($F$125-1)</f>
        <v>2074.4126011391995</v>
      </c>
      <c r="D10" s="13">
        <f>D8+D9+(D8+D9)*($F$125-1)</f>
        <v>3124.1998971904</v>
      </c>
      <c r="E10" s="49">
        <f>E8+E9+E126</f>
        <v>2599.3062491647997</v>
      </c>
    </row>
    <row r="11" spans="2:6">
      <c r="C11" s="40"/>
      <c r="D11" s="40"/>
    </row>
    <row r="12" spans="2:6" ht="24">
      <c r="B12" s="32" t="s">
        <v>16</v>
      </c>
      <c r="C12" s="10">
        <v>627.5</v>
      </c>
      <c r="D12" s="10">
        <v>1014.5</v>
      </c>
      <c r="E12" s="48">
        <f>AVERAGE(C12:D12)</f>
        <v>821</v>
      </c>
      <c r="F12" s="12" t="s">
        <v>17</v>
      </c>
    </row>
    <row r="13" spans="2:6">
      <c r="C13" s="40"/>
      <c r="D13" s="40"/>
    </row>
    <row r="14" spans="2:6" ht="24">
      <c r="B14" s="32" t="s">
        <v>18</v>
      </c>
      <c r="C14" s="10">
        <v>550</v>
      </c>
      <c r="D14" s="10">
        <v>750</v>
      </c>
      <c r="E14" s="48">
        <f>AVERAGE(C14:D14)</f>
        <v>650</v>
      </c>
      <c r="F14" s="12" t="s">
        <v>19</v>
      </c>
    </row>
    <row r="15" spans="2:6">
      <c r="B15" s="33" t="s">
        <v>20</v>
      </c>
      <c r="C15" s="15">
        <f>C10+C12+C14</f>
        <v>3251.9126011391995</v>
      </c>
      <c r="D15" s="15">
        <f>D10+D12+D14</f>
        <v>4888.6998971903995</v>
      </c>
      <c r="E15" s="50">
        <f>E10+E12+E14</f>
        <v>4070.3062491647997</v>
      </c>
    </row>
    <row r="16" spans="2:6">
      <c r="C16" s="40"/>
      <c r="D16" s="40"/>
    </row>
    <row r="17" spans="1:6">
      <c r="B17" s="32" t="s">
        <v>21</v>
      </c>
      <c r="C17" s="10">
        <v>459.1</v>
      </c>
      <c r="D17" s="10">
        <v>547.1</v>
      </c>
      <c r="E17" s="48">
        <f>AVERAGE(C17:D17)</f>
        <v>503.1</v>
      </c>
    </row>
    <row r="18" spans="1:6">
      <c r="B18" s="3" t="s">
        <v>22</v>
      </c>
      <c r="C18" s="10">
        <v>150</v>
      </c>
      <c r="D18" s="10">
        <v>250</v>
      </c>
      <c r="E18" s="48">
        <f>AVERAGE(C18:D18)</f>
        <v>200</v>
      </c>
    </row>
    <row r="19" spans="1:6" ht="56">
      <c r="B19" s="32" t="s">
        <v>23</v>
      </c>
      <c r="C19" s="10">
        <v>250</v>
      </c>
      <c r="D19" s="10">
        <v>350</v>
      </c>
      <c r="E19" s="48">
        <f>AVERAGE(C19:D19)</f>
        <v>300</v>
      </c>
      <c r="F19" s="3" t="s">
        <v>24</v>
      </c>
    </row>
    <row r="20" spans="1:6">
      <c r="B20" s="34" t="s">
        <v>25</v>
      </c>
      <c r="C20" s="41">
        <f>C15+C17+C18+C19</f>
        <v>4111.0126011391994</v>
      </c>
      <c r="D20" s="41">
        <f>D15+D17+D18+D19</f>
        <v>6035.7998971903999</v>
      </c>
      <c r="E20" s="51">
        <f>E15+E17+E18+E19</f>
        <v>5073.4062491648001</v>
      </c>
    </row>
    <row r="21" spans="1:6">
      <c r="C21" s="40"/>
      <c r="D21" s="40"/>
    </row>
    <row r="22" spans="1:6">
      <c r="B22" s="16" t="s">
        <v>26</v>
      </c>
      <c r="C22" s="42"/>
      <c r="D22" s="42"/>
      <c r="E22" s="59" t="s">
        <v>162</v>
      </c>
    </row>
    <row r="23" spans="1:6">
      <c r="B23" s="32" t="s">
        <v>27</v>
      </c>
      <c r="C23" s="40"/>
      <c r="D23" s="40"/>
      <c r="E23" s="53">
        <f>E15/150</f>
        <v>27.135374994431999</v>
      </c>
    </row>
    <row r="24" spans="1:6">
      <c r="B24" s="32" t="s">
        <v>28</v>
      </c>
      <c r="C24" s="40"/>
      <c r="D24" s="40"/>
      <c r="E24" s="68">
        <f>E12/E15</f>
        <v>0.20170472434806688</v>
      </c>
    </row>
    <row r="25" spans="1:6">
      <c r="B25" s="32" t="s">
        <v>29</v>
      </c>
      <c r="C25" s="40"/>
      <c r="D25" s="40"/>
      <c r="E25" s="68">
        <f>E17/E20</f>
        <v>9.9164146392341807E-2</v>
      </c>
    </row>
    <row r="26" spans="1:6">
      <c r="B26" s="32"/>
      <c r="C26" s="40"/>
      <c r="D26" s="40"/>
      <c r="E26" s="53"/>
    </row>
    <row r="27" spans="1:6">
      <c r="B27" s="16" t="s">
        <v>161</v>
      </c>
      <c r="C27" s="17"/>
      <c r="D27" s="17"/>
      <c r="E27" s="59" t="s">
        <v>162</v>
      </c>
      <c r="F27" s="18"/>
    </row>
    <row r="28" spans="1:6">
      <c r="A28" s="18"/>
      <c r="B28" s="20" t="s">
        <v>30</v>
      </c>
      <c r="C28" s="6"/>
      <c r="D28" s="6"/>
      <c r="E28" s="6"/>
      <c r="F28" s="18"/>
    </row>
    <row r="29" spans="1:6">
      <c r="A29" s="18"/>
      <c r="B29" s="31" t="s">
        <v>31</v>
      </c>
      <c r="C29" s="18"/>
      <c r="D29" s="18"/>
      <c r="E29" s="49">
        <f>SUM(E30:E39)</f>
        <v>285</v>
      </c>
      <c r="F29" s="18"/>
    </row>
    <row r="30" spans="1:6">
      <c r="A30" s="18"/>
      <c r="B30" s="21" t="s">
        <v>32</v>
      </c>
      <c r="C30" s="18"/>
      <c r="D30" s="18"/>
      <c r="E30" s="56">
        <v>90</v>
      </c>
      <c r="F30" s="22"/>
    </row>
    <row r="31" spans="1:6">
      <c r="A31" s="18"/>
      <c r="B31" s="21" t="s">
        <v>33</v>
      </c>
      <c r="C31" s="18"/>
      <c r="D31" s="18"/>
      <c r="E31" s="56">
        <v>55</v>
      </c>
      <c r="F31" s="22"/>
    </row>
    <row r="32" spans="1:6">
      <c r="A32" s="18"/>
      <c r="B32" s="21" t="s">
        <v>34</v>
      </c>
      <c r="C32" s="18"/>
      <c r="D32" s="18"/>
      <c r="E32" s="56">
        <v>15</v>
      </c>
      <c r="F32" s="22"/>
    </row>
    <row r="33" spans="1:6">
      <c r="A33" s="18"/>
      <c r="B33" s="21" t="s">
        <v>35</v>
      </c>
      <c r="C33" s="18"/>
      <c r="D33" s="18"/>
      <c r="E33" s="56">
        <v>4</v>
      </c>
      <c r="F33" s="22"/>
    </row>
    <row r="34" spans="1:6">
      <c r="A34" s="18"/>
      <c r="B34" s="21" t="s">
        <v>36</v>
      </c>
      <c r="C34" s="18"/>
      <c r="D34" s="18"/>
      <c r="E34" s="56">
        <v>10</v>
      </c>
      <c r="F34" s="22"/>
    </row>
    <row r="35" spans="1:6">
      <c r="A35" s="18"/>
      <c r="B35" s="21" t="s">
        <v>37</v>
      </c>
      <c r="C35" s="18"/>
      <c r="D35" s="18"/>
      <c r="E35" s="56">
        <v>6</v>
      </c>
      <c r="F35" s="22"/>
    </row>
    <row r="36" spans="1:6">
      <c r="A36" s="18"/>
      <c r="B36" s="21" t="s">
        <v>38</v>
      </c>
      <c r="C36" s="18"/>
      <c r="D36" s="18"/>
      <c r="E36" s="56">
        <v>40</v>
      </c>
      <c r="F36" s="22"/>
    </row>
    <row r="37" spans="1:6">
      <c r="A37" s="18"/>
      <c r="B37" s="21" t="s">
        <v>39</v>
      </c>
      <c r="C37" s="18"/>
      <c r="D37" s="18"/>
      <c r="E37" s="56">
        <v>15</v>
      </c>
      <c r="F37" s="22"/>
    </row>
    <row r="38" spans="1:6">
      <c r="A38" s="18"/>
      <c r="B38" s="21" t="s">
        <v>40</v>
      </c>
      <c r="C38" s="18"/>
      <c r="D38" s="18"/>
      <c r="E38" s="56">
        <v>20</v>
      </c>
      <c r="F38" s="18"/>
    </row>
    <row r="39" spans="1:6">
      <c r="A39" s="18"/>
      <c r="B39" s="36" t="s">
        <v>41</v>
      </c>
      <c r="C39" s="18"/>
      <c r="D39" s="18"/>
      <c r="E39" s="56">
        <v>30</v>
      </c>
      <c r="F39" s="18"/>
    </row>
    <row r="40" spans="1:6">
      <c r="A40" s="18"/>
      <c r="B40" s="38"/>
      <c r="C40" s="18"/>
      <c r="D40" s="18"/>
      <c r="E40" s="54"/>
      <c r="F40" s="18"/>
    </row>
    <row r="41" spans="1:6">
      <c r="A41" s="18"/>
      <c r="B41" s="23" t="s">
        <v>43</v>
      </c>
      <c r="C41" s="18"/>
      <c r="D41" s="18"/>
      <c r="E41" s="49">
        <f>SUM(E42:E52)</f>
        <v>195</v>
      </c>
      <c r="F41" s="18"/>
    </row>
    <row r="42" spans="1:6">
      <c r="A42" s="18"/>
      <c r="B42" s="36" t="s">
        <v>44</v>
      </c>
      <c r="C42" s="18"/>
      <c r="D42" s="18"/>
      <c r="E42" s="56">
        <v>25</v>
      </c>
      <c r="F42" s="18"/>
    </row>
    <row r="43" spans="1:6">
      <c r="A43" s="18"/>
      <c r="B43" s="36" t="s">
        <v>45</v>
      </c>
      <c r="C43" s="18"/>
      <c r="D43" s="18"/>
      <c r="E43" s="56">
        <v>15</v>
      </c>
      <c r="F43" s="18"/>
    </row>
    <row r="44" spans="1:6">
      <c r="A44" s="18"/>
      <c r="B44" s="21" t="s">
        <v>46</v>
      </c>
      <c r="C44" s="18"/>
      <c r="D44" s="18"/>
      <c r="E44" s="56">
        <v>30</v>
      </c>
      <c r="F44" s="18"/>
    </row>
    <row r="45" spans="1:6">
      <c r="A45" s="18"/>
      <c r="B45" s="21" t="s">
        <v>47</v>
      </c>
      <c r="C45" s="18"/>
      <c r="D45" s="18"/>
      <c r="E45" s="56">
        <v>20</v>
      </c>
      <c r="F45" s="18"/>
    </row>
    <row r="46" spans="1:6">
      <c r="A46" s="18"/>
      <c r="B46" s="21" t="s">
        <v>48</v>
      </c>
      <c r="C46" s="18"/>
      <c r="D46" s="18"/>
      <c r="E46" s="56">
        <v>20</v>
      </c>
      <c r="F46" s="18"/>
    </row>
    <row r="47" spans="1:6">
      <c r="A47" s="18"/>
      <c r="B47" s="21" t="s">
        <v>49</v>
      </c>
      <c r="C47" s="18"/>
      <c r="D47" s="18"/>
      <c r="E47" s="56">
        <v>20</v>
      </c>
      <c r="F47" s="18"/>
    </row>
    <row r="48" spans="1:6">
      <c r="A48" s="18"/>
      <c r="B48" s="21" t="s">
        <v>50</v>
      </c>
      <c r="C48" s="18"/>
      <c r="D48" s="18"/>
      <c r="E48" s="56">
        <v>10</v>
      </c>
      <c r="F48" s="18"/>
    </row>
    <row r="49" spans="1:6">
      <c r="A49" s="18"/>
      <c r="B49" s="36" t="s">
        <v>51</v>
      </c>
      <c r="C49" s="18"/>
      <c r="D49" s="18"/>
      <c r="E49" s="56">
        <v>10</v>
      </c>
      <c r="F49" s="18"/>
    </row>
    <row r="50" spans="1:6">
      <c r="A50" s="18"/>
      <c r="B50" s="36" t="s">
        <v>52</v>
      </c>
      <c r="C50" s="18"/>
      <c r="D50" s="18"/>
      <c r="E50" s="56">
        <v>15</v>
      </c>
      <c r="F50" s="18"/>
    </row>
    <row r="51" spans="1:6">
      <c r="A51" s="18"/>
      <c r="B51" s="36" t="s">
        <v>53</v>
      </c>
      <c r="C51" s="18"/>
      <c r="D51" s="18"/>
      <c r="E51" s="56">
        <v>15</v>
      </c>
      <c r="F51" s="18"/>
    </row>
    <row r="52" spans="1:6">
      <c r="A52" s="18"/>
      <c r="B52" s="36" t="s">
        <v>54</v>
      </c>
      <c r="C52" s="18"/>
      <c r="D52" s="18"/>
      <c r="E52" s="56">
        <v>15</v>
      </c>
      <c r="F52" s="18"/>
    </row>
    <row r="53" spans="1:6">
      <c r="A53" s="18"/>
      <c r="B53" s="38"/>
      <c r="C53" s="18"/>
      <c r="D53" s="18"/>
      <c r="E53" s="54"/>
      <c r="F53" s="18"/>
    </row>
    <row r="54" spans="1:6">
      <c r="A54" s="18"/>
      <c r="B54" s="31" t="s">
        <v>55</v>
      </c>
      <c r="C54" s="18"/>
      <c r="D54" s="18"/>
      <c r="E54" s="49">
        <f>SUM(E55:E59)</f>
        <v>88</v>
      </c>
      <c r="F54" s="18"/>
    </row>
    <row r="55" spans="1:6">
      <c r="A55" s="18"/>
      <c r="B55" s="36" t="s">
        <v>56</v>
      </c>
      <c r="C55" s="18"/>
      <c r="D55" s="18"/>
      <c r="E55" s="56">
        <v>30</v>
      </c>
      <c r="F55" s="18"/>
    </row>
    <row r="56" spans="1:6">
      <c r="B56" s="36" t="s">
        <v>57</v>
      </c>
      <c r="E56" s="56">
        <v>20</v>
      </c>
    </row>
    <row r="57" spans="1:6">
      <c r="B57" s="36" t="s">
        <v>58</v>
      </c>
      <c r="E57" s="56">
        <v>12</v>
      </c>
    </row>
    <row r="58" spans="1:6">
      <c r="B58" s="36" t="s">
        <v>59</v>
      </c>
      <c r="E58" s="56">
        <v>19.5</v>
      </c>
    </row>
    <row r="59" spans="1:6">
      <c r="B59" s="36" t="s">
        <v>60</v>
      </c>
      <c r="E59" s="56">
        <v>6.5</v>
      </c>
    </row>
    <row r="61" spans="1:6">
      <c r="B61" s="31" t="s">
        <v>61</v>
      </c>
      <c r="E61" s="49">
        <f>SUM(E62:E67)</f>
        <v>62</v>
      </c>
    </row>
    <row r="62" spans="1:6">
      <c r="B62" s="36" t="s">
        <v>62</v>
      </c>
      <c r="E62" s="56">
        <v>15</v>
      </c>
    </row>
    <row r="63" spans="1:6">
      <c r="B63" s="36" t="s">
        <v>63</v>
      </c>
      <c r="E63" s="56">
        <v>12</v>
      </c>
    </row>
    <row r="64" spans="1:6">
      <c r="B64" s="36" t="s">
        <v>64</v>
      </c>
      <c r="E64" s="56">
        <v>8</v>
      </c>
    </row>
    <row r="65" spans="2:5">
      <c r="B65" s="36" t="s">
        <v>65</v>
      </c>
      <c r="E65" s="56">
        <v>12</v>
      </c>
    </row>
    <row r="66" spans="2:5">
      <c r="B66" s="36" t="s">
        <v>66</v>
      </c>
      <c r="E66" s="56">
        <v>10</v>
      </c>
    </row>
    <row r="67" spans="2:5">
      <c r="B67" s="36" t="s">
        <v>67</v>
      </c>
      <c r="E67" s="56">
        <v>5</v>
      </c>
    </row>
    <row r="69" spans="2:5">
      <c r="B69" s="31" t="s">
        <v>68</v>
      </c>
      <c r="E69" s="49">
        <f>SUM(E70:E75)</f>
        <v>35</v>
      </c>
    </row>
    <row r="70" spans="2:5">
      <c r="B70" s="36" t="s">
        <v>69</v>
      </c>
      <c r="E70" s="56">
        <v>6</v>
      </c>
    </row>
    <row r="71" spans="2:5">
      <c r="B71" s="36" t="s">
        <v>70</v>
      </c>
      <c r="E71" s="56">
        <v>8</v>
      </c>
    </row>
    <row r="72" spans="2:5">
      <c r="B72" s="36" t="s">
        <v>71</v>
      </c>
      <c r="E72" s="56">
        <v>5</v>
      </c>
    </row>
    <row r="73" spans="2:5">
      <c r="B73" s="36" t="s">
        <v>72</v>
      </c>
      <c r="E73" s="56">
        <v>4</v>
      </c>
    </row>
    <row r="74" spans="2:5">
      <c r="B74" s="36" t="s">
        <v>73</v>
      </c>
      <c r="E74" s="56">
        <v>3</v>
      </c>
    </row>
    <row r="75" spans="2:5">
      <c r="B75" s="36" t="s">
        <v>74</v>
      </c>
      <c r="E75" s="56">
        <v>9</v>
      </c>
    </row>
    <row r="77" spans="2:5">
      <c r="B77" s="31" t="s">
        <v>75</v>
      </c>
      <c r="E77" s="49">
        <f>SUM(E78:E80)</f>
        <v>33</v>
      </c>
    </row>
    <row r="78" spans="2:5">
      <c r="B78" s="36" t="s">
        <v>76</v>
      </c>
      <c r="E78" s="56">
        <v>24</v>
      </c>
    </row>
    <row r="79" spans="2:5">
      <c r="B79" s="36" t="s">
        <v>77</v>
      </c>
      <c r="E79" s="56">
        <v>6</v>
      </c>
    </row>
    <row r="80" spans="2:5">
      <c r="B80" s="36" t="s">
        <v>78</v>
      </c>
      <c r="E80" s="56">
        <v>3</v>
      </c>
    </row>
    <row r="82" spans="2:5">
      <c r="B82" s="31" t="s">
        <v>79</v>
      </c>
      <c r="E82" s="49">
        <f>SUM(E83:E89)</f>
        <v>30.5</v>
      </c>
    </row>
    <row r="83" spans="2:5">
      <c r="B83" s="36" t="s">
        <v>80</v>
      </c>
      <c r="E83" s="56">
        <v>6</v>
      </c>
    </row>
    <row r="84" spans="2:5">
      <c r="B84" s="36" t="s">
        <v>81</v>
      </c>
      <c r="E84" s="56">
        <v>5</v>
      </c>
    </row>
    <row r="85" spans="2:5">
      <c r="B85" s="36" t="s">
        <v>82</v>
      </c>
      <c r="E85" s="56">
        <v>6</v>
      </c>
    </row>
    <row r="86" spans="2:5">
      <c r="B86" s="36" t="s">
        <v>83</v>
      </c>
      <c r="E86" s="56">
        <v>5</v>
      </c>
    </row>
    <row r="87" spans="2:5">
      <c r="B87" s="3" t="s">
        <v>84</v>
      </c>
      <c r="E87" s="55">
        <v>4</v>
      </c>
    </row>
    <row r="88" spans="2:5">
      <c r="B88" s="3" t="s">
        <v>85</v>
      </c>
      <c r="E88" s="55">
        <v>3</v>
      </c>
    </row>
    <row r="89" spans="2:5">
      <c r="B89" s="3" t="s">
        <v>86</v>
      </c>
      <c r="E89" s="55">
        <v>1.5</v>
      </c>
    </row>
    <row r="90" spans="2:5">
      <c r="B90" s="37" t="s">
        <v>42</v>
      </c>
      <c r="E90" s="57">
        <f>SUM(E83:E89)</f>
        <v>30.5</v>
      </c>
    </row>
    <row r="91" spans="2:5">
      <c r="B91" s="37"/>
      <c r="E91" s="57"/>
    </row>
    <row r="92" spans="2:5">
      <c r="B92" s="31" t="s">
        <v>87</v>
      </c>
      <c r="E92" s="49">
        <f>SUM(E93:E95)</f>
        <v>60</v>
      </c>
    </row>
    <row r="93" spans="2:5">
      <c r="B93" s="39" t="s">
        <v>88</v>
      </c>
      <c r="E93" s="55">
        <v>30</v>
      </c>
    </row>
    <row r="94" spans="2:5">
      <c r="B94" s="39" t="s">
        <v>89</v>
      </c>
      <c r="E94" s="55">
        <v>20</v>
      </c>
    </row>
    <row r="95" spans="2:5">
      <c r="B95" s="39" t="s">
        <v>90</v>
      </c>
      <c r="E95" s="55">
        <v>10</v>
      </c>
    </row>
    <row r="96" spans="2:5">
      <c r="B96" s="39"/>
      <c r="E96" s="55"/>
    </row>
    <row r="97" spans="2:5">
      <c r="B97" s="60" t="s">
        <v>163</v>
      </c>
      <c r="C97" s="61"/>
      <c r="D97" s="61"/>
      <c r="E97" s="62">
        <f>E29+E41+E54+E61+E69+E77+E82+E92</f>
        <v>788.5</v>
      </c>
    </row>
    <row r="98" spans="2:5">
      <c r="B98" s="39"/>
      <c r="E98" s="55"/>
    </row>
    <row r="99" spans="2:5">
      <c r="B99" s="16" t="s">
        <v>160</v>
      </c>
      <c r="C99" s="16"/>
      <c r="D99" s="16"/>
      <c r="E99" s="59" t="s">
        <v>162</v>
      </c>
    </row>
    <row r="100" spans="2:5">
      <c r="B100" s="31" t="s">
        <v>91</v>
      </c>
      <c r="E100" s="49">
        <f>SUM(E101:E105)</f>
        <v>17</v>
      </c>
    </row>
    <row r="101" spans="2:5">
      <c r="B101" s="36" t="s">
        <v>92</v>
      </c>
      <c r="E101" s="56">
        <v>8</v>
      </c>
    </row>
    <row r="102" spans="2:5">
      <c r="B102" s="36" t="s">
        <v>93</v>
      </c>
      <c r="E102" s="56">
        <v>6</v>
      </c>
    </row>
    <row r="103" spans="2:5">
      <c r="B103" s="36" t="s">
        <v>94</v>
      </c>
      <c r="E103" s="56">
        <v>1</v>
      </c>
    </row>
    <row r="104" spans="2:5">
      <c r="B104" s="36" t="s">
        <v>95</v>
      </c>
      <c r="E104" s="56">
        <v>1</v>
      </c>
    </row>
    <row r="105" spans="2:5">
      <c r="B105" s="36" t="s">
        <v>96</v>
      </c>
      <c r="E105" s="56">
        <v>1</v>
      </c>
    </row>
    <row r="106" spans="2:5">
      <c r="B106" s="37" t="s">
        <v>42</v>
      </c>
      <c r="E106" s="58">
        <f>SUM(E101:E105)</f>
        <v>17</v>
      </c>
    </row>
    <row r="108" spans="2:5">
      <c r="B108" s="31" t="s">
        <v>97</v>
      </c>
      <c r="E108" s="49">
        <f>SUM(E109:E112)</f>
        <v>15</v>
      </c>
    </row>
    <row r="109" spans="2:5">
      <c r="B109" s="36" t="s">
        <v>98</v>
      </c>
      <c r="E109" s="56">
        <v>8</v>
      </c>
    </row>
    <row r="110" spans="2:5">
      <c r="B110" s="36" t="s">
        <v>99</v>
      </c>
      <c r="E110" s="56">
        <v>4</v>
      </c>
    </row>
    <row r="111" spans="2:5">
      <c r="B111" s="36" t="s">
        <v>100</v>
      </c>
      <c r="E111" s="56">
        <v>2</v>
      </c>
    </row>
    <row r="112" spans="2:5">
      <c r="B112" s="36" t="s">
        <v>101</v>
      </c>
      <c r="E112" s="56">
        <v>1</v>
      </c>
    </row>
    <row r="113" spans="1:6">
      <c r="B113" s="37" t="s">
        <v>42</v>
      </c>
      <c r="E113" s="58">
        <f>SUM(E109:E112)</f>
        <v>15</v>
      </c>
    </row>
    <row r="115" spans="1:6">
      <c r="B115" s="63" t="s">
        <v>165</v>
      </c>
      <c r="C115" s="61"/>
      <c r="D115" s="61"/>
      <c r="E115" s="64">
        <f>E106+E113</f>
        <v>32</v>
      </c>
    </row>
    <row r="116" spans="1:6">
      <c r="B116" s="65" t="s">
        <v>164</v>
      </c>
      <c r="C116" s="66"/>
      <c r="D116" s="66"/>
      <c r="E116" s="67">
        <f>E29+E41+E54+E61+E69+E77+E82+E92+E100+E108</f>
        <v>820.5</v>
      </c>
    </row>
    <row r="118" spans="1:6">
      <c r="A118" s="16" t="s">
        <v>102</v>
      </c>
      <c r="B118" s="35"/>
      <c r="C118" s="2"/>
      <c r="D118" s="2"/>
      <c r="E118" s="52"/>
    </row>
    <row r="119" spans="1:6" ht="24">
      <c r="B119" s="19" t="s">
        <v>103</v>
      </c>
    </row>
    <row r="120" spans="1:6">
      <c r="B120" s="30" t="s">
        <v>104</v>
      </c>
      <c r="C120" s="6"/>
      <c r="D120" s="6" t="s">
        <v>105</v>
      </c>
      <c r="E120" s="47" t="s">
        <v>106</v>
      </c>
      <c r="F120" s="6" t="s">
        <v>107</v>
      </c>
    </row>
    <row r="121" spans="1:6">
      <c r="B121" s="32" t="s">
        <v>108</v>
      </c>
      <c r="D121" s="9">
        <v>0.05</v>
      </c>
      <c r="E121" s="69">
        <v>1</v>
      </c>
      <c r="F121" s="24">
        <f>D121*E121</f>
        <v>0.05</v>
      </c>
    </row>
    <row r="122" spans="1:6">
      <c r="B122" s="32" t="s">
        <v>109</v>
      </c>
      <c r="D122" s="9">
        <v>0.25</v>
      </c>
      <c r="E122" s="69">
        <v>1.04</v>
      </c>
      <c r="F122" s="24">
        <f>D122*E122</f>
        <v>0.26</v>
      </c>
    </row>
    <row r="123" spans="1:6">
      <c r="B123" s="32" t="s">
        <v>110</v>
      </c>
      <c r="D123" s="9">
        <v>0.4</v>
      </c>
      <c r="E123" s="69">
        <v>1.0815999999999999</v>
      </c>
      <c r="F123" s="24">
        <f>D123*E123</f>
        <v>0.43263999999999997</v>
      </c>
    </row>
    <row r="124" spans="1:6">
      <c r="B124" s="32" t="s">
        <v>111</v>
      </c>
      <c r="D124" s="9">
        <v>0.3</v>
      </c>
      <c r="E124" s="69">
        <v>1.1248640000000001</v>
      </c>
      <c r="F124" s="24">
        <f>D124*E124</f>
        <v>0.33745920000000001</v>
      </c>
    </row>
    <row r="125" spans="1:6">
      <c r="B125" s="31" t="s">
        <v>112</v>
      </c>
      <c r="F125" s="25">
        <f>SUM(F121:F124)</f>
        <v>1.0800992</v>
      </c>
    </row>
    <row r="126" spans="1:6">
      <c r="B126" s="31" t="s">
        <v>113</v>
      </c>
      <c r="E126" s="49">
        <f>(E8+E9)*(F125-1)</f>
        <v>192.76224916480007</v>
      </c>
    </row>
    <row r="127" spans="1:6" ht="36">
      <c r="B127" s="19" t="s">
        <v>114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752A-EF75-5648-B9CF-58D0692B0ADE}">
  <dimension ref="A1:S153"/>
  <sheetViews>
    <sheetView zoomScale="110" zoomScaleNormal="110" workbookViewId="0">
      <selection activeCell="M136" sqref="M136"/>
    </sheetView>
  </sheetViews>
  <sheetFormatPr baseColWidth="10" defaultRowHeight="16"/>
  <cols>
    <col min="1" max="1" width="2" customWidth="1"/>
    <col min="2" max="2" width="46" customWidth="1"/>
    <col min="3" max="17" width="10.5" customWidth="1"/>
    <col min="18" max="18" width="2" customWidth="1"/>
  </cols>
  <sheetData>
    <row r="1" spans="1:17" ht="18">
      <c r="A1" s="18"/>
      <c r="B1" s="1" t="s">
        <v>219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7">
      <c r="B2" s="16" t="s">
        <v>220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2"/>
      <c r="P2" s="2"/>
      <c r="Q2" s="2"/>
    </row>
    <row r="3" spans="1:17">
      <c r="A3" s="18"/>
      <c r="B3" s="18"/>
      <c r="C3" s="73" t="s">
        <v>221</v>
      </c>
      <c r="D3" s="73" t="s">
        <v>222</v>
      </c>
      <c r="E3" s="73" t="s">
        <v>223</v>
      </c>
      <c r="F3" s="73" t="s">
        <v>224</v>
      </c>
      <c r="G3" s="73" t="s">
        <v>225</v>
      </c>
      <c r="H3" s="73" t="s">
        <v>226</v>
      </c>
      <c r="I3" s="73" t="s">
        <v>227</v>
      </c>
      <c r="J3" s="73" t="s">
        <v>228</v>
      </c>
      <c r="K3" s="73" t="s">
        <v>229</v>
      </c>
      <c r="L3" s="73" t="s">
        <v>230</v>
      </c>
      <c r="M3" s="74" t="s">
        <v>231</v>
      </c>
      <c r="N3" s="74" t="s">
        <v>232</v>
      </c>
      <c r="O3" s="74" t="s">
        <v>233</v>
      </c>
      <c r="P3" s="74" t="s">
        <v>234</v>
      </c>
      <c r="Q3" s="74" t="s">
        <v>235</v>
      </c>
    </row>
    <row r="4" spans="1:17">
      <c r="A4" s="18"/>
      <c r="B4" s="18"/>
      <c r="C4" s="75" t="s">
        <v>236</v>
      </c>
      <c r="D4" s="75" t="s">
        <v>237</v>
      </c>
      <c r="E4" s="75" t="s">
        <v>238</v>
      </c>
      <c r="F4" s="75" t="s">
        <v>239</v>
      </c>
      <c r="G4" s="75" t="s">
        <v>240</v>
      </c>
      <c r="H4" s="75" t="s">
        <v>241</v>
      </c>
      <c r="I4" s="75" t="s">
        <v>242</v>
      </c>
      <c r="J4" s="75" t="s">
        <v>243</v>
      </c>
      <c r="K4" s="75" t="s">
        <v>244</v>
      </c>
      <c r="L4" s="75" t="s">
        <v>245</v>
      </c>
      <c r="M4" s="76" t="s">
        <v>246</v>
      </c>
      <c r="N4" s="76" t="s">
        <v>247</v>
      </c>
      <c r="O4" s="76" t="s">
        <v>248</v>
      </c>
      <c r="P4" s="76" t="s">
        <v>249</v>
      </c>
      <c r="Q4" s="76" t="s">
        <v>250</v>
      </c>
    </row>
    <row r="5" spans="1:17">
      <c r="A5" s="18"/>
      <c r="B5" s="77" t="s">
        <v>406</v>
      </c>
      <c r="C5" s="78">
        <v>0</v>
      </c>
      <c r="D5" s="78">
        <v>0</v>
      </c>
      <c r="E5" s="78">
        <v>0</v>
      </c>
      <c r="F5" s="78">
        <v>0</v>
      </c>
      <c r="G5" s="78">
        <v>150</v>
      </c>
      <c r="H5" s="78">
        <v>150</v>
      </c>
      <c r="I5" s="78">
        <v>150</v>
      </c>
      <c r="J5" s="78">
        <v>150</v>
      </c>
      <c r="K5" s="78">
        <v>150</v>
      </c>
      <c r="L5" s="78">
        <v>150</v>
      </c>
      <c r="M5" s="78">
        <v>150</v>
      </c>
      <c r="N5" s="78">
        <v>150</v>
      </c>
      <c r="O5" s="78">
        <v>150</v>
      </c>
      <c r="P5" s="78">
        <v>150</v>
      </c>
      <c r="Q5" s="78">
        <v>150</v>
      </c>
    </row>
    <row r="6" spans="1:17">
      <c r="A6" s="18"/>
      <c r="B6" s="77" t="s">
        <v>251</v>
      </c>
      <c r="C6" s="79">
        <v>0</v>
      </c>
      <c r="D6" s="79">
        <v>0</v>
      </c>
      <c r="E6" s="79">
        <v>0</v>
      </c>
      <c r="F6" s="79">
        <v>0</v>
      </c>
      <c r="G6" s="79">
        <v>0.3</v>
      </c>
      <c r="H6" s="79">
        <v>0.4</v>
      </c>
      <c r="I6" s="79">
        <v>0.55000000000000004</v>
      </c>
      <c r="J6" s="79">
        <v>0.65</v>
      </c>
      <c r="K6" s="79">
        <v>0.75</v>
      </c>
      <c r="L6" s="79">
        <v>0.8</v>
      </c>
      <c r="M6" s="79">
        <v>0.85</v>
      </c>
      <c r="N6" s="79">
        <v>0.88</v>
      </c>
      <c r="O6" s="79">
        <v>0.88</v>
      </c>
      <c r="P6" s="79">
        <v>0.88</v>
      </c>
      <c r="Q6" s="79">
        <v>0.88</v>
      </c>
    </row>
    <row r="7" spans="1:17">
      <c r="A7" s="18"/>
      <c r="B7" s="77" t="s">
        <v>252</v>
      </c>
      <c r="C7" s="78">
        <v>0</v>
      </c>
      <c r="D7" s="78">
        <v>0</v>
      </c>
      <c r="E7" s="78">
        <v>0</v>
      </c>
      <c r="F7" s="78">
        <v>0</v>
      </c>
      <c r="G7" s="78">
        <v>20</v>
      </c>
      <c r="H7" s="78">
        <v>25</v>
      </c>
      <c r="I7" s="78">
        <v>30</v>
      </c>
      <c r="J7" s="78">
        <v>35</v>
      </c>
      <c r="K7" s="78">
        <v>38</v>
      </c>
      <c r="L7" s="78">
        <v>40</v>
      </c>
      <c r="M7" s="78">
        <v>42</v>
      </c>
      <c r="N7" s="78">
        <v>43</v>
      </c>
      <c r="O7" s="78">
        <v>43</v>
      </c>
      <c r="P7" s="78">
        <v>43</v>
      </c>
      <c r="Q7" s="78">
        <v>43</v>
      </c>
    </row>
    <row r="8" spans="1:17">
      <c r="A8" s="18"/>
      <c r="B8" s="77" t="s">
        <v>253</v>
      </c>
      <c r="C8" s="81">
        <f t="shared" ref="C8:P8" si="0">C5*C6*C7</f>
        <v>0</v>
      </c>
      <c r="D8" s="81">
        <f t="shared" si="0"/>
        <v>0</v>
      </c>
      <c r="E8" s="81">
        <f t="shared" si="0"/>
        <v>0</v>
      </c>
      <c r="F8" s="81">
        <f t="shared" si="0"/>
        <v>0</v>
      </c>
      <c r="G8" s="81">
        <f>G5*G6*G7</f>
        <v>900</v>
      </c>
      <c r="H8" s="81">
        <f t="shared" si="0"/>
        <v>1500</v>
      </c>
      <c r="I8" s="81">
        <f t="shared" si="0"/>
        <v>2475</v>
      </c>
      <c r="J8" s="81">
        <f t="shared" si="0"/>
        <v>3412.5</v>
      </c>
      <c r="K8" s="81">
        <f t="shared" si="0"/>
        <v>4275</v>
      </c>
      <c r="L8" s="81">
        <f t="shared" si="0"/>
        <v>4800</v>
      </c>
      <c r="M8" s="81">
        <f t="shared" si="0"/>
        <v>5355</v>
      </c>
      <c r="N8" s="81">
        <f t="shared" si="0"/>
        <v>5676</v>
      </c>
      <c r="O8" s="81">
        <f t="shared" si="0"/>
        <v>5676</v>
      </c>
      <c r="P8" s="81">
        <f t="shared" si="0"/>
        <v>5676</v>
      </c>
      <c r="Q8" s="81">
        <f>Q5*Q6*Q7</f>
        <v>5676</v>
      </c>
    </row>
    <row r="9" spans="1:17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7">
      <c r="B10" s="16" t="s">
        <v>254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2"/>
      <c r="P10" s="2"/>
      <c r="Q10" s="2"/>
    </row>
    <row r="11" spans="1:17">
      <c r="A11" s="18"/>
      <c r="B11" s="77" t="s">
        <v>255</v>
      </c>
      <c r="C11" s="82">
        <f>[1]Demand_and_Case_Mix!C14</f>
        <v>0.6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7">
      <c r="A12" s="18"/>
      <c r="B12" s="77" t="s">
        <v>256</v>
      </c>
      <c r="C12" s="81">
        <f t="shared" ref="C12:Q12" si="1">C8*$C$11</f>
        <v>0</v>
      </c>
      <c r="D12" s="81">
        <f t="shared" si="1"/>
        <v>0</v>
      </c>
      <c r="E12" s="81">
        <f t="shared" si="1"/>
        <v>0</v>
      </c>
      <c r="F12" s="81">
        <f t="shared" si="1"/>
        <v>0</v>
      </c>
      <c r="G12" s="81">
        <f t="shared" si="1"/>
        <v>540</v>
      </c>
      <c r="H12" s="81">
        <f t="shared" si="1"/>
        <v>900</v>
      </c>
      <c r="I12" s="81">
        <f t="shared" si="1"/>
        <v>1485</v>
      </c>
      <c r="J12" s="81">
        <f t="shared" si="1"/>
        <v>2047.5</v>
      </c>
      <c r="K12" s="81">
        <f t="shared" si="1"/>
        <v>2565</v>
      </c>
      <c r="L12" s="81">
        <f t="shared" si="1"/>
        <v>2880</v>
      </c>
      <c r="M12" s="81">
        <f t="shared" si="1"/>
        <v>3213</v>
      </c>
      <c r="N12" s="81">
        <f t="shared" si="1"/>
        <v>3405.6</v>
      </c>
      <c r="O12" s="81">
        <f t="shared" si="1"/>
        <v>3405.6</v>
      </c>
      <c r="P12" s="81">
        <f t="shared" si="1"/>
        <v>3405.6</v>
      </c>
      <c r="Q12" s="81">
        <f t="shared" si="1"/>
        <v>3405.6</v>
      </c>
    </row>
    <row r="13" spans="1:17">
      <c r="A13" s="18"/>
      <c r="B13" s="77" t="s">
        <v>257</v>
      </c>
      <c r="C13" s="81">
        <f t="shared" ref="C13:Q13" si="2">C8-C12</f>
        <v>0</v>
      </c>
      <c r="D13" s="81">
        <f t="shared" si="2"/>
        <v>0</v>
      </c>
      <c r="E13" s="81">
        <f t="shared" si="2"/>
        <v>0</v>
      </c>
      <c r="F13" s="81">
        <f t="shared" si="2"/>
        <v>0</v>
      </c>
      <c r="G13" s="81">
        <f t="shared" si="2"/>
        <v>360</v>
      </c>
      <c r="H13" s="81">
        <f t="shared" si="2"/>
        <v>600</v>
      </c>
      <c r="I13" s="81">
        <f t="shared" si="2"/>
        <v>990</v>
      </c>
      <c r="J13" s="81">
        <f t="shared" si="2"/>
        <v>1365</v>
      </c>
      <c r="K13" s="81">
        <f t="shared" si="2"/>
        <v>1710</v>
      </c>
      <c r="L13" s="81">
        <f t="shared" si="2"/>
        <v>1920</v>
      </c>
      <c r="M13" s="81">
        <f t="shared" si="2"/>
        <v>2142</v>
      </c>
      <c r="N13" s="81">
        <f t="shared" si="2"/>
        <v>2270.4</v>
      </c>
      <c r="O13" s="81">
        <f t="shared" si="2"/>
        <v>2270.4</v>
      </c>
      <c r="P13" s="81">
        <f t="shared" si="2"/>
        <v>2270.4</v>
      </c>
      <c r="Q13" s="81">
        <f t="shared" si="2"/>
        <v>2270.4</v>
      </c>
    </row>
    <row r="14" spans="1:17">
      <c r="A14" s="18"/>
      <c r="B14" s="22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7">
      <c r="B15" s="16" t="s">
        <v>258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2"/>
      <c r="P15" s="2"/>
      <c r="Q15" s="2"/>
    </row>
    <row r="16" spans="1:17">
      <c r="A16" s="18"/>
      <c r="B16" s="77" t="s">
        <v>259</v>
      </c>
      <c r="C16" s="79">
        <v>0</v>
      </c>
      <c r="D16" s="79">
        <v>0</v>
      </c>
      <c r="E16" s="79">
        <v>0</v>
      </c>
      <c r="F16" s="79">
        <v>0</v>
      </c>
      <c r="G16" s="79">
        <v>0.85</v>
      </c>
      <c r="H16" s="79">
        <v>0.85</v>
      </c>
      <c r="I16" s="79">
        <v>0.85</v>
      </c>
      <c r="J16" s="79">
        <v>0.85</v>
      </c>
      <c r="K16" s="79">
        <v>0.85</v>
      </c>
      <c r="L16" s="79">
        <v>0.85</v>
      </c>
      <c r="M16" s="79">
        <v>0.85</v>
      </c>
      <c r="N16" s="83">
        <v>0.85</v>
      </c>
      <c r="O16" s="79">
        <v>0.85</v>
      </c>
      <c r="P16" s="79">
        <v>0.85</v>
      </c>
      <c r="Q16" s="79">
        <v>0.85</v>
      </c>
    </row>
    <row r="17" spans="1:17">
      <c r="A17" s="18"/>
      <c r="B17" s="77" t="s">
        <v>260</v>
      </c>
      <c r="C17" s="79">
        <v>0</v>
      </c>
      <c r="D17" s="79">
        <v>0</v>
      </c>
      <c r="E17" s="79">
        <v>0</v>
      </c>
      <c r="F17" s="79">
        <v>0</v>
      </c>
      <c r="G17" s="79">
        <v>0.15</v>
      </c>
      <c r="H17" s="79">
        <v>0.15</v>
      </c>
      <c r="I17" s="79">
        <v>0.15</v>
      </c>
      <c r="J17" s="79">
        <v>0.15</v>
      </c>
      <c r="K17" s="79">
        <v>0.15</v>
      </c>
      <c r="L17" s="79">
        <v>0.15</v>
      </c>
      <c r="M17" s="79">
        <v>0.15</v>
      </c>
      <c r="N17" s="79">
        <v>0.15</v>
      </c>
      <c r="O17" s="79">
        <v>0.15</v>
      </c>
      <c r="P17" s="79">
        <v>0.15</v>
      </c>
      <c r="Q17" s="79">
        <v>0.15</v>
      </c>
    </row>
    <row r="18" spans="1:17">
      <c r="A18" s="18"/>
      <c r="B18" s="77" t="s">
        <v>261</v>
      </c>
      <c r="C18" s="79">
        <v>0</v>
      </c>
      <c r="D18" s="79">
        <v>0</v>
      </c>
      <c r="E18" s="79">
        <v>0</v>
      </c>
      <c r="F18" s="79">
        <v>0</v>
      </c>
      <c r="G18" s="79">
        <v>0.55000000000000004</v>
      </c>
      <c r="H18" s="79">
        <v>0.5</v>
      </c>
      <c r="I18" s="79">
        <v>0.4</v>
      </c>
      <c r="J18" s="79">
        <v>0.3</v>
      </c>
      <c r="K18" s="79">
        <v>0.22</v>
      </c>
      <c r="L18" s="79">
        <v>0.18</v>
      </c>
      <c r="M18" s="79">
        <v>0.15</v>
      </c>
      <c r="N18" s="83">
        <v>0.13</v>
      </c>
      <c r="O18" s="79">
        <v>0.13</v>
      </c>
      <c r="P18" s="79">
        <v>0.13</v>
      </c>
      <c r="Q18" s="79">
        <v>0.13</v>
      </c>
    </row>
    <row r="19" spans="1:17">
      <c r="A19" s="18"/>
      <c r="B19" s="77" t="s">
        <v>262</v>
      </c>
      <c r="C19" s="79">
        <v>0</v>
      </c>
      <c r="D19" s="79">
        <v>0</v>
      </c>
      <c r="E19" s="79">
        <v>0</v>
      </c>
      <c r="F19" s="79">
        <v>0</v>
      </c>
      <c r="G19" s="79">
        <v>0.3</v>
      </c>
      <c r="H19" s="79">
        <v>0.28000000000000003</v>
      </c>
      <c r="I19" s="79">
        <v>0.25</v>
      </c>
      <c r="J19" s="79">
        <v>0.2</v>
      </c>
      <c r="K19" s="79">
        <v>0.15</v>
      </c>
      <c r="L19" s="79">
        <v>0.12</v>
      </c>
      <c r="M19" s="79">
        <v>0.1</v>
      </c>
      <c r="N19" s="79">
        <v>0.09</v>
      </c>
      <c r="O19" s="79">
        <v>0.09</v>
      </c>
      <c r="P19" s="79">
        <v>0.09</v>
      </c>
      <c r="Q19" s="79">
        <v>0.09</v>
      </c>
    </row>
    <row r="20" spans="1:17">
      <c r="A20" s="18"/>
      <c r="B20" s="77" t="s">
        <v>263</v>
      </c>
      <c r="C20" s="79">
        <v>0</v>
      </c>
      <c r="D20" s="79">
        <v>0</v>
      </c>
      <c r="E20" s="79">
        <v>0</v>
      </c>
      <c r="F20" s="79">
        <v>0</v>
      </c>
      <c r="G20" s="79">
        <v>0.15</v>
      </c>
      <c r="H20" s="79">
        <v>0.22</v>
      </c>
      <c r="I20" s="79">
        <v>0.35</v>
      </c>
      <c r="J20" s="79">
        <v>0.5</v>
      </c>
      <c r="K20" s="79">
        <v>0.63</v>
      </c>
      <c r="L20" s="79">
        <v>0.7</v>
      </c>
      <c r="M20" s="79">
        <v>0.75</v>
      </c>
      <c r="N20" s="79">
        <v>0.78</v>
      </c>
      <c r="O20" s="79">
        <v>0.78</v>
      </c>
      <c r="P20" s="79">
        <v>0.78</v>
      </c>
      <c r="Q20" s="79">
        <v>0.78</v>
      </c>
    </row>
    <row r="21" spans="1:17">
      <c r="A21" s="18"/>
      <c r="B21" s="77" t="s">
        <v>264</v>
      </c>
      <c r="C21" s="82">
        <f t="shared" ref="C21:Q21" si="3">C18+C19+C20</f>
        <v>0</v>
      </c>
      <c r="D21" s="82">
        <f t="shared" si="3"/>
        <v>0</v>
      </c>
      <c r="E21" s="82">
        <f t="shared" si="3"/>
        <v>0</v>
      </c>
      <c r="F21" s="82">
        <f t="shared" si="3"/>
        <v>0</v>
      </c>
      <c r="G21" s="82">
        <f t="shared" si="3"/>
        <v>1</v>
      </c>
      <c r="H21" s="82">
        <f t="shared" si="3"/>
        <v>1</v>
      </c>
      <c r="I21" s="82">
        <f t="shared" si="3"/>
        <v>1</v>
      </c>
      <c r="J21" s="82">
        <f t="shared" si="3"/>
        <v>1</v>
      </c>
      <c r="K21" s="82">
        <f t="shared" si="3"/>
        <v>1</v>
      </c>
      <c r="L21" s="82">
        <f t="shared" si="3"/>
        <v>1</v>
      </c>
      <c r="M21" s="82">
        <f t="shared" si="3"/>
        <v>1</v>
      </c>
      <c r="N21" s="82">
        <f t="shared" si="3"/>
        <v>1</v>
      </c>
      <c r="O21" s="82">
        <f t="shared" si="3"/>
        <v>1</v>
      </c>
      <c r="P21" s="82">
        <f t="shared" si="3"/>
        <v>1</v>
      </c>
      <c r="Q21" s="82">
        <f t="shared" si="3"/>
        <v>1</v>
      </c>
    </row>
    <row r="22" spans="1:17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7">
      <c r="B23" s="16" t="s">
        <v>265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"/>
      <c r="P23" s="2"/>
      <c r="Q23" s="2"/>
    </row>
    <row r="24" spans="1:17">
      <c r="A24" s="18"/>
      <c r="B24" s="77" t="s">
        <v>266</v>
      </c>
      <c r="C24" s="81">
        <f t="shared" ref="C24:Q24" si="4">C12*C16+C13*C18</f>
        <v>0</v>
      </c>
      <c r="D24" s="81">
        <f t="shared" si="4"/>
        <v>0</v>
      </c>
      <c r="E24" s="81">
        <f t="shared" si="4"/>
        <v>0</v>
      </c>
      <c r="F24" s="81">
        <f t="shared" si="4"/>
        <v>0</v>
      </c>
      <c r="G24" s="81">
        <f t="shared" si="4"/>
        <v>657</v>
      </c>
      <c r="H24" s="81">
        <f t="shared" si="4"/>
        <v>1065</v>
      </c>
      <c r="I24" s="81">
        <f t="shared" si="4"/>
        <v>1658.25</v>
      </c>
      <c r="J24" s="81">
        <f t="shared" si="4"/>
        <v>2149.875</v>
      </c>
      <c r="K24" s="81">
        <f t="shared" si="4"/>
        <v>2556.4499999999998</v>
      </c>
      <c r="L24" s="81">
        <f t="shared" si="4"/>
        <v>2793.6</v>
      </c>
      <c r="M24" s="81">
        <f t="shared" si="4"/>
        <v>3052.35</v>
      </c>
      <c r="N24" s="81">
        <f t="shared" si="4"/>
        <v>3189.9119999999998</v>
      </c>
      <c r="O24" s="81">
        <f t="shared" si="4"/>
        <v>3189.9119999999998</v>
      </c>
      <c r="P24" s="81">
        <f t="shared" si="4"/>
        <v>3189.9119999999998</v>
      </c>
      <c r="Q24" s="81">
        <f t="shared" si="4"/>
        <v>3189.9119999999998</v>
      </c>
    </row>
    <row r="25" spans="1:17">
      <c r="A25" s="18"/>
      <c r="B25" s="77" t="s">
        <v>267</v>
      </c>
      <c r="C25" s="81">
        <f t="shared" ref="C25:Q25" si="5">C12*C17+C13*C19</f>
        <v>0</v>
      </c>
      <c r="D25" s="81">
        <f t="shared" si="5"/>
        <v>0</v>
      </c>
      <c r="E25" s="81">
        <f t="shared" si="5"/>
        <v>0</v>
      </c>
      <c r="F25" s="81">
        <f t="shared" si="5"/>
        <v>0</v>
      </c>
      <c r="G25" s="81">
        <f t="shared" si="5"/>
        <v>189</v>
      </c>
      <c r="H25" s="81">
        <f t="shared" si="5"/>
        <v>303</v>
      </c>
      <c r="I25" s="81">
        <f t="shared" si="5"/>
        <v>470.25</v>
      </c>
      <c r="J25" s="81">
        <f t="shared" si="5"/>
        <v>580.125</v>
      </c>
      <c r="K25" s="81">
        <f t="shared" si="5"/>
        <v>641.25</v>
      </c>
      <c r="L25" s="81">
        <f t="shared" si="5"/>
        <v>662.4</v>
      </c>
      <c r="M25" s="81">
        <f t="shared" si="5"/>
        <v>696.15</v>
      </c>
      <c r="N25" s="81">
        <f t="shared" si="5"/>
        <v>715.17599999999993</v>
      </c>
      <c r="O25" s="81">
        <f t="shared" si="5"/>
        <v>715.17599999999993</v>
      </c>
      <c r="P25" s="81">
        <f t="shared" si="5"/>
        <v>715.17599999999993</v>
      </c>
      <c r="Q25" s="81">
        <f t="shared" si="5"/>
        <v>715.17599999999993</v>
      </c>
    </row>
    <row r="26" spans="1:17">
      <c r="A26" s="18"/>
      <c r="B26" s="77" t="s">
        <v>268</v>
      </c>
      <c r="C26" s="81">
        <f t="shared" ref="C26:Q26" si="6">C13*C20</f>
        <v>0</v>
      </c>
      <c r="D26" s="81">
        <f t="shared" si="6"/>
        <v>0</v>
      </c>
      <c r="E26" s="81">
        <f t="shared" si="6"/>
        <v>0</v>
      </c>
      <c r="F26" s="81">
        <f t="shared" si="6"/>
        <v>0</v>
      </c>
      <c r="G26" s="81">
        <f t="shared" si="6"/>
        <v>54</v>
      </c>
      <c r="H26" s="81">
        <f t="shared" si="6"/>
        <v>132</v>
      </c>
      <c r="I26" s="81">
        <f t="shared" si="6"/>
        <v>346.5</v>
      </c>
      <c r="J26" s="81">
        <f t="shared" si="6"/>
        <v>682.5</v>
      </c>
      <c r="K26" s="81">
        <f t="shared" si="6"/>
        <v>1077.3</v>
      </c>
      <c r="L26" s="81">
        <f t="shared" si="6"/>
        <v>1344</v>
      </c>
      <c r="M26" s="81">
        <f t="shared" si="6"/>
        <v>1606.5</v>
      </c>
      <c r="N26" s="81">
        <f t="shared" si="6"/>
        <v>1770.912</v>
      </c>
      <c r="O26" s="81">
        <f t="shared" si="6"/>
        <v>1770.912</v>
      </c>
      <c r="P26" s="81">
        <f t="shared" si="6"/>
        <v>1770.912</v>
      </c>
      <c r="Q26" s="81">
        <f t="shared" si="6"/>
        <v>1770.912</v>
      </c>
    </row>
    <row r="27" spans="1:17">
      <c r="A27" s="18"/>
      <c r="B27" s="77" t="s">
        <v>269</v>
      </c>
      <c r="C27" s="84">
        <f t="shared" ref="C27:Q27" si="7">ROUND(C24+C25+C26-C8,2)</f>
        <v>0</v>
      </c>
      <c r="D27" s="84">
        <f t="shared" si="7"/>
        <v>0</v>
      </c>
      <c r="E27" s="84">
        <f t="shared" si="7"/>
        <v>0</v>
      </c>
      <c r="F27" s="84">
        <f t="shared" si="7"/>
        <v>0</v>
      </c>
      <c r="G27" s="84">
        <f t="shared" si="7"/>
        <v>0</v>
      </c>
      <c r="H27" s="84">
        <f t="shared" si="7"/>
        <v>0</v>
      </c>
      <c r="I27" s="84">
        <f t="shared" si="7"/>
        <v>0</v>
      </c>
      <c r="J27" s="84">
        <f t="shared" si="7"/>
        <v>0</v>
      </c>
      <c r="K27" s="84">
        <f t="shared" si="7"/>
        <v>0</v>
      </c>
      <c r="L27" s="84">
        <f t="shared" si="7"/>
        <v>0</v>
      </c>
      <c r="M27" s="84">
        <f t="shared" si="7"/>
        <v>0</v>
      </c>
      <c r="N27" s="84">
        <f t="shared" si="7"/>
        <v>0</v>
      </c>
      <c r="O27" s="84">
        <f t="shared" si="7"/>
        <v>0</v>
      </c>
      <c r="P27" s="84">
        <f t="shared" si="7"/>
        <v>0</v>
      </c>
      <c r="Q27" s="84">
        <f t="shared" si="7"/>
        <v>0</v>
      </c>
    </row>
    <row r="28" spans="1:17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7">
      <c r="B29" s="16" t="s">
        <v>270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2"/>
      <c r="P29" s="2"/>
      <c r="Q29" s="2"/>
    </row>
    <row r="30" spans="1:17">
      <c r="A30" s="18"/>
      <c r="B30" s="77" t="s">
        <v>271</v>
      </c>
      <c r="C30" s="78">
        <v>0</v>
      </c>
      <c r="D30" s="78">
        <v>0</v>
      </c>
      <c r="E30" s="78">
        <v>0</v>
      </c>
      <c r="F30" s="78">
        <v>0</v>
      </c>
      <c r="G30" s="78">
        <v>230</v>
      </c>
      <c r="H30" s="78">
        <v>235</v>
      </c>
      <c r="I30" s="78">
        <v>240</v>
      </c>
      <c r="J30" s="78">
        <v>245</v>
      </c>
      <c r="K30" s="78">
        <v>250</v>
      </c>
      <c r="L30" s="78">
        <v>255</v>
      </c>
      <c r="M30" s="78">
        <v>258</v>
      </c>
      <c r="N30" s="78">
        <v>260</v>
      </c>
      <c r="O30" s="78">
        <v>260</v>
      </c>
      <c r="P30" s="78">
        <v>260</v>
      </c>
      <c r="Q30" s="78">
        <v>260</v>
      </c>
    </row>
    <row r="31" spans="1:17">
      <c r="A31" s="18"/>
      <c r="B31" s="77" t="s">
        <v>272</v>
      </c>
      <c r="C31" s="78">
        <v>0</v>
      </c>
      <c r="D31" s="78">
        <v>0</v>
      </c>
      <c r="E31" s="78">
        <v>0</v>
      </c>
      <c r="F31" s="78">
        <v>0</v>
      </c>
      <c r="G31" s="78">
        <v>330</v>
      </c>
      <c r="H31" s="78">
        <v>360</v>
      </c>
      <c r="I31" s="78">
        <v>375</v>
      </c>
      <c r="J31" s="78">
        <v>395</v>
      </c>
      <c r="K31" s="78">
        <v>410</v>
      </c>
      <c r="L31" s="78">
        <v>425</v>
      </c>
      <c r="M31" s="78">
        <v>425</v>
      </c>
      <c r="N31" s="78">
        <v>425</v>
      </c>
      <c r="O31" s="78">
        <v>425</v>
      </c>
      <c r="P31" s="78">
        <v>425</v>
      </c>
      <c r="Q31" s="78">
        <v>425</v>
      </c>
    </row>
    <row r="32" spans="1:17">
      <c r="A32" s="18"/>
      <c r="B32" s="77" t="s">
        <v>273</v>
      </c>
      <c r="C32" s="78">
        <v>0</v>
      </c>
      <c r="D32" s="78">
        <v>0</v>
      </c>
      <c r="E32" s="78">
        <v>0</v>
      </c>
      <c r="F32" s="78">
        <v>0</v>
      </c>
      <c r="G32" s="78">
        <v>900</v>
      </c>
      <c r="H32" s="78">
        <v>950</v>
      </c>
      <c r="I32" s="78">
        <v>1100</v>
      </c>
      <c r="J32" s="78">
        <v>1200</v>
      </c>
      <c r="K32" s="78">
        <v>1300</v>
      </c>
      <c r="L32" s="78">
        <v>1300</v>
      </c>
      <c r="M32" s="78">
        <v>1300</v>
      </c>
      <c r="N32" s="78">
        <v>1300</v>
      </c>
      <c r="O32" s="78">
        <v>1300</v>
      </c>
      <c r="P32" s="78">
        <v>1300</v>
      </c>
      <c r="Q32" s="78">
        <v>1300</v>
      </c>
    </row>
    <row r="33" spans="1:17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7">
      <c r="B34" s="16" t="s">
        <v>274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2"/>
      <c r="P34" s="2"/>
      <c r="Q34" s="2"/>
    </row>
    <row r="35" spans="1:17">
      <c r="A35" s="18"/>
      <c r="B35" s="77" t="s">
        <v>275</v>
      </c>
      <c r="C35" s="81">
        <f t="shared" ref="C35:Q35" si="8">C24*C30/1000</f>
        <v>0</v>
      </c>
      <c r="D35" s="81">
        <f t="shared" si="8"/>
        <v>0</v>
      </c>
      <c r="E35" s="81">
        <f t="shared" si="8"/>
        <v>0</v>
      </c>
      <c r="F35" s="81">
        <f t="shared" si="8"/>
        <v>0</v>
      </c>
      <c r="G35" s="81">
        <f t="shared" si="8"/>
        <v>151.11000000000001</v>
      </c>
      <c r="H35" s="81">
        <f t="shared" si="8"/>
        <v>250.27500000000001</v>
      </c>
      <c r="I35" s="81">
        <f t="shared" si="8"/>
        <v>397.98</v>
      </c>
      <c r="J35" s="81">
        <f t="shared" si="8"/>
        <v>526.71937500000001</v>
      </c>
      <c r="K35" s="81">
        <f t="shared" si="8"/>
        <v>639.11249999999995</v>
      </c>
      <c r="L35" s="81">
        <f t="shared" si="8"/>
        <v>712.36800000000005</v>
      </c>
      <c r="M35" s="81">
        <f t="shared" si="8"/>
        <v>787.5062999999999</v>
      </c>
      <c r="N35" s="81">
        <f t="shared" si="8"/>
        <v>829.37711999999999</v>
      </c>
      <c r="O35" s="81">
        <f t="shared" si="8"/>
        <v>829.37711999999999</v>
      </c>
      <c r="P35" s="81">
        <f t="shared" si="8"/>
        <v>829.37711999999999</v>
      </c>
      <c r="Q35" s="81">
        <f t="shared" si="8"/>
        <v>829.37711999999999</v>
      </c>
    </row>
    <row r="36" spans="1:17">
      <c r="A36" s="18"/>
      <c r="B36" s="77" t="s">
        <v>276</v>
      </c>
      <c r="C36" s="81">
        <f t="shared" ref="C36:Q36" si="9">C25*C31/1000</f>
        <v>0</v>
      </c>
      <c r="D36" s="81">
        <f t="shared" si="9"/>
        <v>0</v>
      </c>
      <c r="E36" s="81">
        <f t="shared" si="9"/>
        <v>0</v>
      </c>
      <c r="F36" s="81">
        <f t="shared" si="9"/>
        <v>0</v>
      </c>
      <c r="G36" s="81">
        <f t="shared" si="9"/>
        <v>62.37</v>
      </c>
      <c r="H36" s="81">
        <f t="shared" si="9"/>
        <v>109.08</v>
      </c>
      <c r="I36" s="81">
        <f t="shared" si="9"/>
        <v>176.34375</v>
      </c>
      <c r="J36" s="81">
        <f t="shared" si="9"/>
        <v>229.14937499999999</v>
      </c>
      <c r="K36" s="81">
        <f t="shared" si="9"/>
        <v>262.91250000000002</v>
      </c>
      <c r="L36" s="81">
        <f t="shared" si="9"/>
        <v>281.52</v>
      </c>
      <c r="M36" s="81">
        <f t="shared" si="9"/>
        <v>295.86374999999998</v>
      </c>
      <c r="N36" s="81">
        <f t="shared" si="9"/>
        <v>303.94979999999998</v>
      </c>
      <c r="O36" s="81">
        <f t="shared" si="9"/>
        <v>303.94979999999998</v>
      </c>
      <c r="P36" s="81">
        <f t="shared" si="9"/>
        <v>303.94979999999998</v>
      </c>
      <c r="Q36" s="81">
        <f t="shared" si="9"/>
        <v>303.94979999999998</v>
      </c>
    </row>
    <row r="37" spans="1:17">
      <c r="A37" s="18"/>
      <c r="B37" s="77" t="s">
        <v>277</v>
      </c>
      <c r="C37" s="81">
        <f t="shared" ref="C37:Q37" si="10">C26*C32/1000</f>
        <v>0</v>
      </c>
      <c r="D37" s="81">
        <f t="shared" si="10"/>
        <v>0</v>
      </c>
      <c r="E37" s="81">
        <f t="shared" si="10"/>
        <v>0</v>
      </c>
      <c r="F37" s="81">
        <f t="shared" si="10"/>
        <v>0</v>
      </c>
      <c r="G37" s="81">
        <f t="shared" si="10"/>
        <v>48.6</v>
      </c>
      <c r="H37" s="81">
        <f t="shared" si="10"/>
        <v>125.4</v>
      </c>
      <c r="I37" s="81">
        <f t="shared" si="10"/>
        <v>381.15</v>
      </c>
      <c r="J37" s="81">
        <f t="shared" si="10"/>
        <v>819</v>
      </c>
      <c r="K37" s="81">
        <f t="shared" si="10"/>
        <v>1400.49</v>
      </c>
      <c r="L37" s="81">
        <f t="shared" si="10"/>
        <v>1747.2</v>
      </c>
      <c r="M37" s="81">
        <f t="shared" si="10"/>
        <v>2088.4499999999998</v>
      </c>
      <c r="N37" s="81">
        <f t="shared" si="10"/>
        <v>2302.1856000000002</v>
      </c>
      <c r="O37" s="81">
        <f t="shared" si="10"/>
        <v>2302.1856000000002</v>
      </c>
      <c r="P37" s="81">
        <f t="shared" si="10"/>
        <v>2302.1856000000002</v>
      </c>
      <c r="Q37" s="81">
        <f t="shared" si="10"/>
        <v>2302.1856000000002</v>
      </c>
    </row>
    <row r="38" spans="1:17">
      <c r="A38" s="18"/>
      <c r="B38" s="85" t="s">
        <v>278</v>
      </c>
      <c r="C38" s="86">
        <f t="shared" ref="C38:Q38" si="11">C35+C36+C37</f>
        <v>0</v>
      </c>
      <c r="D38" s="86">
        <f t="shared" si="11"/>
        <v>0</v>
      </c>
      <c r="E38" s="86">
        <f t="shared" si="11"/>
        <v>0</v>
      </c>
      <c r="F38" s="86">
        <f t="shared" si="11"/>
        <v>0</v>
      </c>
      <c r="G38" s="86">
        <f t="shared" si="11"/>
        <v>262.08000000000004</v>
      </c>
      <c r="H38" s="86">
        <f t="shared" si="11"/>
        <v>484.755</v>
      </c>
      <c r="I38" s="86">
        <f t="shared" si="11"/>
        <v>955.47375</v>
      </c>
      <c r="J38" s="86">
        <f t="shared" si="11"/>
        <v>1574.8687500000001</v>
      </c>
      <c r="K38" s="86">
        <f t="shared" si="11"/>
        <v>2302.5149999999999</v>
      </c>
      <c r="L38" s="86">
        <f t="shared" si="11"/>
        <v>2741.0880000000002</v>
      </c>
      <c r="M38" s="86">
        <f t="shared" si="11"/>
        <v>3171.8200499999998</v>
      </c>
      <c r="N38" s="86">
        <f t="shared" si="11"/>
        <v>3435.5125200000002</v>
      </c>
      <c r="O38" s="86">
        <f t="shared" si="11"/>
        <v>3435.5125200000002</v>
      </c>
      <c r="P38" s="86">
        <f t="shared" si="11"/>
        <v>3435.5125200000002</v>
      </c>
      <c r="Q38" s="86">
        <f t="shared" si="11"/>
        <v>3435.5125200000002</v>
      </c>
    </row>
    <row r="39" spans="1:17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7">
      <c r="B40" s="16" t="s">
        <v>279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2"/>
      <c r="P40" s="2"/>
      <c r="Q40" s="2"/>
    </row>
    <row r="41" spans="1:17">
      <c r="A41" s="18"/>
      <c r="B41" s="77" t="s">
        <v>280</v>
      </c>
      <c r="C41" s="79">
        <v>0</v>
      </c>
      <c r="D41" s="79">
        <v>0</v>
      </c>
      <c r="E41" s="79">
        <v>0</v>
      </c>
      <c r="F41" s="79">
        <v>0</v>
      </c>
      <c r="G41" s="79">
        <v>0.24</v>
      </c>
      <c r="H41" s="79">
        <v>0.23499999999999999</v>
      </c>
      <c r="I41" s="79">
        <v>0.23</v>
      </c>
      <c r="J41" s="79">
        <v>0.22500000000000001</v>
      </c>
      <c r="K41" s="79">
        <v>0.22</v>
      </c>
      <c r="L41" s="79">
        <v>0.215</v>
      </c>
      <c r="M41" s="79">
        <v>0.21</v>
      </c>
      <c r="N41" s="79">
        <v>0.20499999999999999</v>
      </c>
      <c r="O41" s="79">
        <v>0.2</v>
      </c>
      <c r="P41" s="79">
        <v>0.2</v>
      </c>
      <c r="Q41" s="79">
        <v>0.2</v>
      </c>
    </row>
    <row r="42" spans="1:17">
      <c r="A42" s="18"/>
      <c r="B42" s="77" t="s">
        <v>281</v>
      </c>
      <c r="C42" s="81">
        <f t="shared" ref="C42:Q42" si="12">-C38*C41</f>
        <v>0</v>
      </c>
      <c r="D42" s="81">
        <f t="shared" si="12"/>
        <v>0</v>
      </c>
      <c r="E42" s="81">
        <f t="shared" si="12"/>
        <v>0</v>
      </c>
      <c r="F42" s="81">
        <f t="shared" si="12"/>
        <v>0</v>
      </c>
      <c r="G42" s="81">
        <f t="shared" si="12"/>
        <v>-62.899200000000008</v>
      </c>
      <c r="H42" s="81">
        <f t="shared" si="12"/>
        <v>-113.91742499999999</v>
      </c>
      <c r="I42" s="81">
        <f t="shared" si="12"/>
        <v>-219.7589625</v>
      </c>
      <c r="J42" s="81">
        <f t="shared" si="12"/>
        <v>-354.34546875000001</v>
      </c>
      <c r="K42" s="81">
        <f t="shared" si="12"/>
        <v>-506.55329999999998</v>
      </c>
      <c r="L42" s="81">
        <f t="shared" si="12"/>
        <v>-589.33392000000003</v>
      </c>
      <c r="M42" s="81">
        <f t="shared" si="12"/>
        <v>-666.08221049999997</v>
      </c>
      <c r="N42" s="81">
        <f t="shared" si="12"/>
        <v>-704.28006660000005</v>
      </c>
      <c r="O42" s="81">
        <f t="shared" si="12"/>
        <v>-687.10250400000007</v>
      </c>
      <c r="P42" s="81">
        <f t="shared" si="12"/>
        <v>-687.10250400000007</v>
      </c>
      <c r="Q42" s="81">
        <f t="shared" si="12"/>
        <v>-687.10250400000007</v>
      </c>
    </row>
    <row r="43" spans="1:17">
      <c r="A43" s="18"/>
      <c r="B43" s="77" t="s">
        <v>282</v>
      </c>
      <c r="C43" s="87">
        <f>IF(C5=0,0,-([1]Staffing_Summary!$E$46+(C5-65)/(150-65)*([1]Staffing_Summary!$F$46-[1]Staffing_Summary!$E$46)))</f>
        <v>0</v>
      </c>
      <c r="D43" s="87">
        <f>IF(D5=0,0,-([1]Staffing_Summary!$E$46+(D5-65)/(150-65)*([1]Staffing_Summary!$F$46-[1]Staffing_Summary!$E$46)))</f>
        <v>0</v>
      </c>
      <c r="E43" s="87">
        <f>IF(E5=0,0,-([1]Staffing_Summary!$E$46+(E5-65)/(150-65)*([1]Staffing_Summary!$F$46-[1]Staffing_Summary!$E$46)))</f>
        <v>0</v>
      </c>
      <c r="F43" s="87">
        <f>IF(F5=0,0,-([1]Staffing_Summary!$E$46+(F5-65)/(150-65)*([1]Staffing_Summary!$F$46-[1]Staffing_Summary!$E$46)))</f>
        <v>0</v>
      </c>
      <c r="G43" s="87">
        <f>IF(G5=0,0,-([1]Staffing_Summary!$E$46+(G5-65)/(150-65)*([1]Staffing_Summary!$F$46-[1]Staffing_Summary!$E$46)))</f>
        <v>-338.76</v>
      </c>
      <c r="H43" s="87">
        <f>IF(H5=0,0,-([1]Staffing_Summary!$E$46+(H5-65)/(150-65)*([1]Staffing_Summary!$F$46-[1]Staffing_Summary!$E$46)))</f>
        <v>-338.76</v>
      </c>
      <c r="I43" s="87">
        <f>IF(I5=0,0,-([1]Staffing_Summary!$E$46+(I5-65)/(150-65)*([1]Staffing_Summary!$F$46-[1]Staffing_Summary!$E$46)))</f>
        <v>-338.76</v>
      </c>
      <c r="J43" s="87">
        <f>IF(J5=0,0,-([1]Staffing_Summary!$E$46+(J5-65)/(150-65)*([1]Staffing_Summary!$F$46-[1]Staffing_Summary!$E$46)))</f>
        <v>-338.76</v>
      </c>
      <c r="K43" s="87">
        <f>IF(K5=0,0,-([1]Staffing_Summary!$E$46+(K5-65)/(150-65)*([1]Staffing_Summary!$F$46-[1]Staffing_Summary!$E$46)))</f>
        <v>-338.76</v>
      </c>
      <c r="L43" s="87">
        <f>IF(L5=0,0,-([1]Staffing_Summary!$E$46+(L5-65)/(150-65)*([1]Staffing_Summary!$F$46-[1]Staffing_Summary!$E$46)))</f>
        <v>-338.76</v>
      </c>
      <c r="M43" s="87">
        <f>IF(M5=0,0,-([1]Staffing_Summary!$E$46+(M5-65)/(150-65)*([1]Staffing_Summary!$F$46-[1]Staffing_Summary!$E$46)))</f>
        <v>-338.76</v>
      </c>
      <c r="N43" s="87">
        <f>IF(N5=0,0,-([1]Staffing_Summary!$E$46+(N5-65)/(150-65)*([1]Staffing_Summary!$F$46-[1]Staffing_Summary!$E$46)))</f>
        <v>-338.76</v>
      </c>
      <c r="O43" s="87">
        <f>IF(O5=0,0,-([1]Staffing_Summary!$E$46+(O5-65)/(150-65)*([1]Staffing_Summary!$F$46-[1]Staffing_Summary!$E$46)))</f>
        <v>-338.76</v>
      </c>
      <c r="P43" s="87">
        <f>IF(P5=0,0,-([1]Staffing_Summary!$E$46+(P5-65)/(150-65)*([1]Staffing_Summary!$F$46-[1]Staffing_Summary!$E$46)))</f>
        <v>-338.76</v>
      </c>
      <c r="Q43" s="81">
        <f>IF(Q5=0,0,-([1]Staffing_Summary!$E$46+(Q5-65)/(150-65)*([1]Staffing_Summary!$F$46-[1]Staffing_Summary!$E$46)))</f>
        <v>-338.76</v>
      </c>
    </row>
    <row r="44" spans="1:17">
      <c r="A44" s="18"/>
      <c r="B44" s="85" t="s">
        <v>283</v>
      </c>
      <c r="C44" s="86">
        <f t="shared" ref="C44:Q44" si="13">C42+C43</f>
        <v>0</v>
      </c>
      <c r="D44" s="86">
        <f t="shared" si="13"/>
        <v>0</v>
      </c>
      <c r="E44" s="86">
        <f t="shared" si="13"/>
        <v>0</v>
      </c>
      <c r="F44" s="86">
        <f t="shared" si="13"/>
        <v>0</v>
      </c>
      <c r="G44" s="86">
        <f t="shared" si="13"/>
        <v>-401.6592</v>
      </c>
      <c r="H44" s="86">
        <f t="shared" si="13"/>
        <v>-452.67742499999997</v>
      </c>
      <c r="I44" s="86">
        <f t="shared" si="13"/>
        <v>-558.51896250000004</v>
      </c>
      <c r="J44" s="86">
        <f t="shared" si="13"/>
        <v>-693.10546875</v>
      </c>
      <c r="K44" s="86">
        <f t="shared" si="13"/>
        <v>-845.31330000000003</v>
      </c>
      <c r="L44" s="86">
        <f t="shared" si="13"/>
        <v>-928.09392000000003</v>
      </c>
      <c r="M44" s="86">
        <f t="shared" si="13"/>
        <v>-1004.8422105</v>
      </c>
      <c r="N44" s="86">
        <f t="shared" si="13"/>
        <v>-1043.0400666</v>
      </c>
      <c r="O44" s="86">
        <f t="shared" si="13"/>
        <v>-1025.8625040000002</v>
      </c>
      <c r="P44" s="86">
        <f t="shared" si="13"/>
        <v>-1025.8625040000002</v>
      </c>
      <c r="Q44" s="86">
        <f t="shared" si="13"/>
        <v>-1025.8625040000002</v>
      </c>
    </row>
    <row r="45" spans="1:17">
      <c r="A45" s="18"/>
      <c r="B45" s="85" t="s">
        <v>284</v>
      </c>
      <c r="C45" s="88">
        <f t="shared" ref="C45:Q45" si="14">C38+C44</f>
        <v>0</v>
      </c>
      <c r="D45" s="88">
        <f t="shared" si="14"/>
        <v>0</v>
      </c>
      <c r="E45" s="88">
        <f t="shared" si="14"/>
        <v>0</v>
      </c>
      <c r="F45" s="88">
        <f t="shared" si="14"/>
        <v>0</v>
      </c>
      <c r="G45" s="88">
        <f t="shared" si="14"/>
        <v>-139.57919999999996</v>
      </c>
      <c r="H45" s="88">
        <f t="shared" si="14"/>
        <v>32.077575000000024</v>
      </c>
      <c r="I45" s="88">
        <f t="shared" si="14"/>
        <v>396.95478749999995</v>
      </c>
      <c r="J45" s="88">
        <f t="shared" si="14"/>
        <v>881.76328125000009</v>
      </c>
      <c r="K45" s="88">
        <f t="shared" si="14"/>
        <v>1457.2016999999998</v>
      </c>
      <c r="L45" s="88">
        <f t="shared" si="14"/>
        <v>1812.9940800000002</v>
      </c>
      <c r="M45" s="88">
        <f t="shared" si="14"/>
        <v>2166.9778394999998</v>
      </c>
      <c r="N45" s="88">
        <f t="shared" si="14"/>
        <v>2392.4724534000002</v>
      </c>
      <c r="O45" s="88">
        <f t="shared" si="14"/>
        <v>2409.6500160000001</v>
      </c>
      <c r="P45" s="88">
        <f t="shared" si="14"/>
        <v>2409.6500160000001</v>
      </c>
      <c r="Q45" s="88">
        <f t="shared" si="14"/>
        <v>2409.6500160000001</v>
      </c>
    </row>
    <row r="46" spans="1:17">
      <c r="A46" s="18"/>
      <c r="B46" s="77" t="s">
        <v>285</v>
      </c>
      <c r="C46" s="82">
        <f t="shared" ref="C46:Q46" si="15">IFERROR(C45/C38,0)</f>
        <v>0</v>
      </c>
      <c r="D46" s="82">
        <f t="shared" si="15"/>
        <v>0</v>
      </c>
      <c r="E46" s="82">
        <f t="shared" si="15"/>
        <v>0</v>
      </c>
      <c r="F46" s="82">
        <f t="shared" si="15"/>
        <v>0</v>
      </c>
      <c r="G46" s="82">
        <f t="shared" si="15"/>
        <v>-0.53258241758241731</v>
      </c>
      <c r="H46" s="82">
        <f t="shared" si="15"/>
        <v>6.6172757372280899E-2</v>
      </c>
      <c r="I46" s="82">
        <f t="shared" si="15"/>
        <v>0.41545336802816402</v>
      </c>
      <c r="J46" s="82">
        <f t="shared" si="15"/>
        <v>0.55989636041098667</v>
      </c>
      <c r="K46" s="82">
        <f t="shared" si="15"/>
        <v>0.63287392264545506</v>
      </c>
      <c r="L46" s="82">
        <f t="shared" si="15"/>
        <v>0.66141403705389978</v>
      </c>
      <c r="M46" s="82">
        <f t="shared" si="15"/>
        <v>0.68319696746352299</v>
      </c>
      <c r="N46" s="82">
        <f t="shared" si="15"/>
        <v>0.69639462510239958</v>
      </c>
      <c r="O46" s="82">
        <f t="shared" si="15"/>
        <v>0.70139462510239958</v>
      </c>
      <c r="P46" s="82">
        <f t="shared" si="15"/>
        <v>0.70139462510239958</v>
      </c>
      <c r="Q46" s="82">
        <f t="shared" si="15"/>
        <v>0.70139462510239958</v>
      </c>
    </row>
    <row r="47" spans="1:1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22"/>
    </row>
    <row r="48" spans="1:17">
      <c r="A48" s="16" t="s">
        <v>286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2"/>
      <c r="P48" s="2"/>
      <c r="Q48" s="2"/>
    </row>
    <row r="49" spans="1:17">
      <c r="A49" s="18"/>
      <c r="B49" s="77" t="s">
        <v>287</v>
      </c>
      <c r="C49" s="81">
        <f>IF(C5=0,0,-([1]Staffing_Summary!$E$10+(C5-65)/(150-65)*([1]Staffing_Summary!$F$10-[1]Staffing_Summary!$E$10)))</f>
        <v>0</v>
      </c>
      <c r="D49" s="81">
        <f>IF(D5=0,0,-([1]Staffing_Summary!$E$10+(D5-65)/(150-65)*([1]Staffing_Summary!$F$10-[1]Staffing_Summary!$E$10)))</f>
        <v>0</v>
      </c>
      <c r="E49" s="81">
        <f>IF(E5=0,0,-([1]Staffing_Summary!$E$10+(E5-65)/(150-65)*([1]Staffing_Summary!$F$10-[1]Staffing_Summary!$E$10)))</f>
        <v>0</v>
      </c>
      <c r="F49" s="81">
        <f>IF(F5=0,0,-([1]Staffing_Summary!$E$10+(F5-65)/(150-65)*([1]Staffing_Summary!$F$10-[1]Staffing_Summary!$E$10)))</f>
        <v>0</v>
      </c>
      <c r="G49" s="81">
        <f>IF(G5=0,0,-([1]Staffing_Summary!$E$10+(G5-65)/(150-65)*([1]Staffing_Summary!$F$10-[1]Staffing_Summary!$E$10)))</f>
        <v>-374.053</v>
      </c>
      <c r="H49" s="81">
        <f>IF(H5=0,0,-([1]Staffing_Summary!$E$10+(H5-65)/(150-65)*([1]Staffing_Summary!$F$10-[1]Staffing_Summary!$E$10)))</f>
        <v>-374.053</v>
      </c>
      <c r="I49" s="81">
        <f>IF(I5=0,0,-([1]Staffing_Summary!$E$10+(I5-65)/(150-65)*([1]Staffing_Summary!$F$10-[1]Staffing_Summary!$E$10)))</f>
        <v>-374.053</v>
      </c>
      <c r="J49" s="81">
        <f>IF(J5=0,0,-([1]Staffing_Summary!$E$10+(J5-65)/(150-65)*([1]Staffing_Summary!$F$10-[1]Staffing_Summary!$E$10)))</f>
        <v>-374.053</v>
      </c>
      <c r="K49" s="81">
        <f>IF(K5=0,0,-([1]Staffing_Summary!$E$10+(K5-65)/(150-65)*([1]Staffing_Summary!$F$10-[1]Staffing_Summary!$E$10)))</f>
        <v>-374.053</v>
      </c>
      <c r="L49" s="81">
        <f>IF(L5=0,0,-([1]Staffing_Summary!$E$10+(L5-65)/(150-65)*([1]Staffing_Summary!$F$10-[1]Staffing_Summary!$E$10)))</f>
        <v>-374.053</v>
      </c>
      <c r="M49" s="81">
        <f>IF(M5=0,0,-([1]Staffing_Summary!$E$10+(M5-65)/(150-65)*([1]Staffing_Summary!$F$10-[1]Staffing_Summary!$E$10)))</f>
        <v>-374.053</v>
      </c>
      <c r="N49" s="81">
        <f>IF(N5=0,0,-([1]Staffing_Summary!$E$10+(N5-65)/(150-65)*([1]Staffing_Summary!$F$10-[1]Staffing_Summary!$E$10)))</f>
        <v>-374.053</v>
      </c>
      <c r="O49" s="81">
        <f>IF(O5=0,0,-([1]Staffing_Summary!$E$10+(O5-65)/(150-65)*([1]Staffing_Summary!$F$10-[1]Staffing_Summary!$E$10)))</f>
        <v>-374.053</v>
      </c>
      <c r="P49" s="81">
        <f>IF(P5=0,0,-([1]Staffing_Summary!$E$10+(P5-65)/(150-65)*([1]Staffing_Summary!$F$10-[1]Staffing_Summary!$E$10)))</f>
        <v>-374.053</v>
      </c>
      <c r="Q49" s="81">
        <f>IF(Q5=0,0,-([1]Staffing_Summary!$E$10+(Q5-65)/(150-65)*([1]Staffing_Summary!$F$10-[1]Staffing_Summary!$E$10)))</f>
        <v>-374.053</v>
      </c>
    </row>
    <row r="50" spans="1:17">
      <c r="A50" s="18"/>
      <c r="B50" s="77" t="s">
        <v>288</v>
      </c>
      <c r="C50" s="79">
        <v>0</v>
      </c>
      <c r="D50" s="79">
        <v>0</v>
      </c>
      <c r="E50" s="79">
        <v>0</v>
      </c>
      <c r="F50" s="79">
        <v>0</v>
      </c>
      <c r="G50" s="79">
        <v>2.1999999999999999E-2</v>
      </c>
      <c r="H50" s="79">
        <v>2.1999999999999999E-2</v>
      </c>
      <c r="I50" s="79">
        <v>2.1999999999999999E-2</v>
      </c>
      <c r="J50" s="79">
        <v>2.1999999999999999E-2</v>
      </c>
      <c r="K50" s="79">
        <v>2.1999999999999999E-2</v>
      </c>
      <c r="L50" s="79">
        <v>2.1999999999999999E-2</v>
      </c>
      <c r="M50" s="79">
        <v>2.1999999999999999E-2</v>
      </c>
      <c r="N50" s="79">
        <v>2.1999999999999999E-2</v>
      </c>
      <c r="O50" s="79">
        <v>2.1999999999999999E-2</v>
      </c>
      <c r="P50" s="79">
        <v>2.1999999999999999E-2</v>
      </c>
      <c r="Q50" s="79">
        <v>2.1999999999999999E-2</v>
      </c>
    </row>
    <row r="51" spans="1:17">
      <c r="A51" s="18"/>
      <c r="B51" s="77" t="s">
        <v>289</v>
      </c>
      <c r="C51" s="81">
        <f t="shared" ref="C51:Q51" si="16">-C38*C50</f>
        <v>0</v>
      </c>
      <c r="D51" s="81">
        <f t="shared" si="16"/>
        <v>0</v>
      </c>
      <c r="E51" s="81">
        <f t="shared" si="16"/>
        <v>0</v>
      </c>
      <c r="F51" s="81">
        <f t="shared" si="16"/>
        <v>0</v>
      </c>
      <c r="G51" s="81">
        <f t="shared" si="16"/>
        <v>-5.7657600000000002</v>
      </c>
      <c r="H51" s="81">
        <f t="shared" si="16"/>
        <v>-10.66461</v>
      </c>
      <c r="I51" s="81">
        <f t="shared" si="16"/>
        <v>-21.020422499999999</v>
      </c>
      <c r="J51" s="81">
        <f t="shared" si="16"/>
        <v>-34.647112499999999</v>
      </c>
      <c r="K51" s="81">
        <f t="shared" si="16"/>
        <v>-50.655329999999992</v>
      </c>
      <c r="L51" s="81">
        <f t="shared" si="16"/>
        <v>-60.303936</v>
      </c>
      <c r="M51" s="81">
        <f t="shared" si="16"/>
        <v>-69.780041099999991</v>
      </c>
      <c r="N51" s="81">
        <f t="shared" si="16"/>
        <v>-75.581275439999999</v>
      </c>
      <c r="O51" s="81">
        <f t="shared" si="16"/>
        <v>-75.581275439999999</v>
      </c>
      <c r="P51" s="81">
        <f t="shared" si="16"/>
        <v>-75.581275439999999</v>
      </c>
      <c r="Q51" s="81">
        <f t="shared" si="16"/>
        <v>-75.581275439999999</v>
      </c>
    </row>
    <row r="52" spans="1:17">
      <c r="A52" s="18"/>
      <c r="B52" s="77" t="s">
        <v>290</v>
      </c>
      <c r="C52" s="79">
        <v>0</v>
      </c>
      <c r="D52" s="79">
        <v>0</v>
      </c>
      <c r="E52" s="79">
        <v>0</v>
      </c>
      <c r="F52" s="79">
        <v>0</v>
      </c>
      <c r="G52" s="79">
        <v>0.2</v>
      </c>
      <c r="H52" s="79">
        <v>0.18</v>
      </c>
      <c r="I52" s="79">
        <v>0.14000000000000001</v>
      </c>
      <c r="J52" s="79">
        <v>0.1</v>
      </c>
      <c r="K52" s="79">
        <v>0.08</v>
      </c>
      <c r="L52" s="79">
        <v>0.06</v>
      </c>
      <c r="M52" s="79">
        <v>0.05</v>
      </c>
      <c r="N52" s="79">
        <v>0.04</v>
      </c>
      <c r="O52" s="79">
        <v>0.04</v>
      </c>
      <c r="P52" s="79">
        <v>0.04</v>
      </c>
      <c r="Q52" s="79">
        <v>0.04</v>
      </c>
    </row>
    <row r="53" spans="1:17">
      <c r="A53" s="18"/>
      <c r="B53" s="77" t="s">
        <v>291</v>
      </c>
      <c r="C53" s="81">
        <f t="shared" ref="C53:Q53" si="17">-C38*C52</f>
        <v>0</v>
      </c>
      <c r="D53" s="81">
        <f t="shared" si="17"/>
        <v>0</v>
      </c>
      <c r="E53" s="81">
        <f t="shared" si="17"/>
        <v>0</v>
      </c>
      <c r="F53" s="81">
        <f t="shared" si="17"/>
        <v>0</v>
      </c>
      <c r="G53" s="81">
        <f t="shared" si="17"/>
        <v>-52.416000000000011</v>
      </c>
      <c r="H53" s="81">
        <f t="shared" si="17"/>
        <v>-87.255899999999997</v>
      </c>
      <c r="I53" s="81">
        <f t="shared" si="17"/>
        <v>-133.76632500000002</v>
      </c>
      <c r="J53" s="81">
        <f t="shared" si="17"/>
        <v>-157.48687500000003</v>
      </c>
      <c r="K53" s="81">
        <f t="shared" si="17"/>
        <v>-184.2012</v>
      </c>
      <c r="L53" s="81">
        <f t="shared" si="17"/>
        <v>-164.46528000000001</v>
      </c>
      <c r="M53" s="81">
        <f t="shared" si="17"/>
        <v>-158.5910025</v>
      </c>
      <c r="N53" s="81">
        <f t="shared" si="17"/>
        <v>-137.42050080000001</v>
      </c>
      <c r="O53" s="81">
        <f t="shared" si="17"/>
        <v>-137.42050080000001</v>
      </c>
      <c r="P53" s="81">
        <f t="shared" si="17"/>
        <v>-137.42050080000001</v>
      </c>
      <c r="Q53" s="81">
        <f t="shared" si="17"/>
        <v>-137.42050080000001</v>
      </c>
    </row>
    <row r="54" spans="1:17">
      <c r="A54" s="18"/>
      <c r="B54" s="77" t="s">
        <v>292</v>
      </c>
      <c r="C54" s="78">
        <v>0</v>
      </c>
      <c r="D54" s="78">
        <v>0</v>
      </c>
      <c r="E54" s="78">
        <v>0</v>
      </c>
      <c r="F54" s="78">
        <v>15</v>
      </c>
      <c r="G54" s="78">
        <v>18</v>
      </c>
      <c r="H54" s="78">
        <v>20</v>
      </c>
      <c r="I54" s="78">
        <v>22</v>
      </c>
      <c r="J54" s="78">
        <v>22</v>
      </c>
      <c r="K54" s="78">
        <v>25</v>
      </c>
      <c r="L54" s="78">
        <v>25</v>
      </c>
      <c r="M54" s="78">
        <v>25</v>
      </c>
      <c r="N54" s="78">
        <v>25</v>
      </c>
      <c r="O54" s="78">
        <v>25</v>
      </c>
      <c r="P54" s="78">
        <v>25</v>
      </c>
      <c r="Q54" s="78">
        <v>25</v>
      </c>
    </row>
    <row r="55" spans="1:17">
      <c r="A55" s="18"/>
      <c r="B55" s="77" t="s">
        <v>293</v>
      </c>
      <c r="C55" s="81">
        <f t="shared" ref="C55:Q55" si="18">-C54</f>
        <v>0</v>
      </c>
      <c r="D55" s="81">
        <f t="shared" si="18"/>
        <v>0</v>
      </c>
      <c r="E55" s="81">
        <f t="shared" si="18"/>
        <v>0</v>
      </c>
      <c r="F55" s="81">
        <f t="shared" si="18"/>
        <v>-15</v>
      </c>
      <c r="G55" s="81">
        <f t="shared" si="18"/>
        <v>-18</v>
      </c>
      <c r="H55" s="81">
        <f t="shared" si="18"/>
        <v>-20</v>
      </c>
      <c r="I55" s="81">
        <f t="shared" si="18"/>
        <v>-22</v>
      </c>
      <c r="J55" s="81">
        <f t="shared" si="18"/>
        <v>-22</v>
      </c>
      <c r="K55" s="81">
        <f t="shared" si="18"/>
        <v>-25</v>
      </c>
      <c r="L55" s="81">
        <f t="shared" si="18"/>
        <v>-25</v>
      </c>
      <c r="M55" s="81">
        <f t="shared" si="18"/>
        <v>-25</v>
      </c>
      <c r="N55" s="81">
        <f t="shared" si="18"/>
        <v>-25</v>
      </c>
      <c r="O55" s="81">
        <f t="shared" si="18"/>
        <v>-25</v>
      </c>
      <c r="P55" s="81">
        <f t="shared" si="18"/>
        <v>-25</v>
      </c>
      <c r="Q55" s="81">
        <f t="shared" si="18"/>
        <v>-25</v>
      </c>
    </row>
    <row r="56" spans="1:17">
      <c r="A56" s="18"/>
      <c r="B56" s="77" t="s">
        <v>294</v>
      </c>
      <c r="C56" s="89">
        <v>0</v>
      </c>
      <c r="D56" s="89">
        <v>0</v>
      </c>
      <c r="E56" s="89">
        <v>0</v>
      </c>
      <c r="F56" s="89">
        <v>1.5</v>
      </c>
      <c r="G56" s="89">
        <v>2</v>
      </c>
      <c r="H56" s="89">
        <v>2.5</v>
      </c>
      <c r="I56" s="89">
        <v>3</v>
      </c>
      <c r="J56" s="89">
        <v>3.5</v>
      </c>
      <c r="K56" s="89">
        <v>3.5</v>
      </c>
      <c r="L56" s="89">
        <v>4</v>
      </c>
      <c r="M56" s="89">
        <v>4</v>
      </c>
      <c r="N56" s="89">
        <v>4</v>
      </c>
      <c r="O56" s="89">
        <v>4</v>
      </c>
      <c r="P56" s="89">
        <v>4</v>
      </c>
      <c r="Q56" s="89">
        <v>4</v>
      </c>
    </row>
    <row r="57" spans="1:17">
      <c r="A57" s="18"/>
      <c r="B57" s="77" t="s">
        <v>295</v>
      </c>
      <c r="C57" s="81">
        <f t="shared" ref="C57:Q57" si="19">-C56</f>
        <v>0</v>
      </c>
      <c r="D57" s="81">
        <f t="shared" si="19"/>
        <v>0</v>
      </c>
      <c r="E57" s="81">
        <f t="shared" si="19"/>
        <v>0</v>
      </c>
      <c r="F57" s="81">
        <f t="shared" si="19"/>
        <v>-1.5</v>
      </c>
      <c r="G57" s="81">
        <f t="shared" si="19"/>
        <v>-2</v>
      </c>
      <c r="H57" s="81">
        <f t="shared" si="19"/>
        <v>-2.5</v>
      </c>
      <c r="I57" s="81">
        <f t="shared" si="19"/>
        <v>-3</v>
      </c>
      <c r="J57" s="81">
        <f t="shared" si="19"/>
        <v>-3.5</v>
      </c>
      <c r="K57" s="81">
        <f t="shared" si="19"/>
        <v>-3.5</v>
      </c>
      <c r="L57" s="81">
        <f t="shared" si="19"/>
        <v>-4</v>
      </c>
      <c r="M57" s="81">
        <f t="shared" si="19"/>
        <v>-4</v>
      </c>
      <c r="N57" s="81">
        <f t="shared" si="19"/>
        <v>-4</v>
      </c>
      <c r="O57" s="81">
        <f t="shared" si="19"/>
        <v>-4</v>
      </c>
      <c r="P57" s="81">
        <f t="shared" si="19"/>
        <v>-4</v>
      </c>
      <c r="Q57" s="81">
        <f t="shared" si="19"/>
        <v>-4</v>
      </c>
    </row>
    <row r="58" spans="1:17">
      <c r="A58" s="18"/>
      <c r="B58" s="77" t="s">
        <v>296</v>
      </c>
      <c r="C58" s="79">
        <v>0</v>
      </c>
      <c r="D58" s="79">
        <v>0</v>
      </c>
      <c r="E58" s="79">
        <v>0</v>
      </c>
      <c r="F58" s="79">
        <v>0</v>
      </c>
      <c r="G58" s="79">
        <v>1.2E-2</v>
      </c>
      <c r="H58" s="79">
        <v>1.2E-2</v>
      </c>
      <c r="I58" s="79">
        <v>1.2E-2</v>
      </c>
      <c r="J58" s="79">
        <v>1.2E-2</v>
      </c>
      <c r="K58" s="79">
        <v>1.2E-2</v>
      </c>
      <c r="L58" s="79">
        <v>1.2E-2</v>
      </c>
      <c r="M58" s="79">
        <v>1.2E-2</v>
      </c>
      <c r="N58" s="79">
        <v>1.2E-2</v>
      </c>
      <c r="O58" s="79">
        <v>1.2E-2</v>
      </c>
      <c r="P58" s="79">
        <v>1.2E-2</v>
      </c>
      <c r="Q58" s="79">
        <v>1.2E-2</v>
      </c>
    </row>
    <row r="59" spans="1:17">
      <c r="A59" s="18"/>
      <c r="B59" s="77" t="s">
        <v>297</v>
      </c>
      <c r="C59" s="81">
        <f t="shared" ref="C59:Q59" si="20">-C38*C58</f>
        <v>0</v>
      </c>
      <c r="D59" s="81">
        <f t="shared" si="20"/>
        <v>0</v>
      </c>
      <c r="E59" s="81">
        <f t="shared" si="20"/>
        <v>0</v>
      </c>
      <c r="F59" s="81">
        <f t="shared" si="20"/>
        <v>0</v>
      </c>
      <c r="G59" s="81">
        <f t="shared" si="20"/>
        <v>-3.1449600000000006</v>
      </c>
      <c r="H59" s="81">
        <f t="shared" si="20"/>
        <v>-5.8170599999999997</v>
      </c>
      <c r="I59" s="81">
        <f t="shared" si="20"/>
        <v>-11.465685000000001</v>
      </c>
      <c r="J59" s="81">
        <f t="shared" si="20"/>
        <v>-18.898425000000003</v>
      </c>
      <c r="K59" s="81">
        <f t="shared" si="20"/>
        <v>-27.630179999999999</v>
      </c>
      <c r="L59" s="81">
        <f t="shared" si="20"/>
        <v>-32.893056000000001</v>
      </c>
      <c r="M59" s="81">
        <f t="shared" si="20"/>
        <v>-38.061840599999996</v>
      </c>
      <c r="N59" s="81">
        <f t="shared" si="20"/>
        <v>-41.226150240000003</v>
      </c>
      <c r="O59" s="81">
        <f t="shared" si="20"/>
        <v>-41.226150240000003</v>
      </c>
      <c r="P59" s="81">
        <f t="shared" si="20"/>
        <v>-41.226150240000003</v>
      </c>
      <c r="Q59" s="81">
        <f t="shared" si="20"/>
        <v>-41.226150240000003</v>
      </c>
    </row>
    <row r="60" spans="1:17">
      <c r="A60" s="18"/>
      <c r="B60" s="77" t="s">
        <v>298</v>
      </c>
      <c r="C60" s="79">
        <v>0</v>
      </c>
      <c r="D60" s="79">
        <v>0</v>
      </c>
      <c r="E60" s="79">
        <v>0</v>
      </c>
      <c r="F60" s="79">
        <v>0</v>
      </c>
      <c r="G60" s="79">
        <v>0.01</v>
      </c>
      <c r="H60" s="79">
        <v>0.01</v>
      </c>
      <c r="I60" s="79">
        <v>0.01</v>
      </c>
      <c r="J60" s="79">
        <v>0.01</v>
      </c>
      <c r="K60" s="79">
        <v>0.01</v>
      </c>
      <c r="L60" s="79">
        <v>0.01</v>
      </c>
      <c r="M60" s="79">
        <v>0.01</v>
      </c>
      <c r="N60" s="79">
        <v>0.01</v>
      </c>
      <c r="O60" s="79">
        <v>0.01</v>
      </c>
      <c r="P60" s="79">
        <v>0.01</v>
      </c>
      <c r="Q60" s="79">
        <v>0.01</v>
      </c>
    </row>
    <row r="61" spans="1:17">
      <c r="A61" s="18"/>
      <c r="B61" s="77" t="s">
        <v>299</v>
      </c>
      <c r="C61" s="81">
        <f t="shared" ref="C61:Q61" si="21">-C38*C60</f>
        <v>0</v>
      </c>
      <c r="D61" s="81">
        <f t="shared" si="21"/>
        <v>0</v>
      </c>
      <c r="E61" s="81">
        <f t="shared" si="21"/>
        <v>0</v>
      </c>
      <c r="F61" s="81">
        <f t="shared" si="21"/>
        <v>0</v>
      </c>
      <c r="G61" s="81">
        <f t="shared" si="21"/>
        <v>-2.6208000000000005</v>
      </c>
      <c r="H61" s="81">
        <f t="shared" si="21"/>
        <v>-4.84755</v>
      </c>
      <c r="I61" s="81">
        <f t="shared" si="21"/>
        <v>-9.5547374999999999</v>
      </c>
      <c r="J61" s="81">
        <f t="shared" si="21"/>
        <v>-15.748687500000001</v>
      </c>
      <c r="K61" s="81">
        <f t="shared" si="21"/>
        <v>-23.02515</v>
      </c>
      <c r="L61" s="81">
        <f t="shared" si="21"/>
        <v>-27.410880000000002</v>
      </c>
      <c r="M61" s="81">
        <f t="shared" si="21"/>
        <v>-31.718200499999998</v>
      </c>
      <c r="N61" s="81">
        <f t="shared" si="21"/>
        <v>-34.355125200000003</v>
      </c>
      <c r="O61" s="81">
        <f t="shared" si="21"/>
        <v>-34.355125200000003</v>
      </c>
      <c r="P61" s="81">
        <f t="shared" si="21"/>
        <v>-34.355125200000003</v>
      </c>
      <c r="Q61" s="81">
        <f t="shared" si="21"/>
        <v>-34.355125200000003</v>
      </c>
    </row>
    <row r="62" spans="1:17">
      <c r="A62" s="18"/>
      <c r="B62" s="77" t="s">
        <v>300</v>
      </c>
      <c r="C62" s="89">
        <v>0</v>
      </c>
      <c r="D62" s="89">
        <v>0</v>
      </c>
      <c r="E62" s="89">
        <v>0</v>
      </c>
      <c r="F62" s="89">
        <v>0</v>
      </c>
      <c r="G62" s="89">
        <v>0</v>
      </c>
      <c r="H62" s="89">
        <v>0</v>
      </c>
      <c r="I62" s="89">
        <v>2</v>
      </c>
      <c r="J62" s="89">
        <v>2</v>
      </c>
      <c r="K62" s="89">
        <v>2</v>
      </c>
      <c r="L62" s="89">
        <v>2</v>
      </c>
      <c r="M62" s="89">
        <v>2</v>
      </c>
      <c r="N62" s="89">
        <v>2</v>
      </c>
      <c r="O62" s="89">
        <v>2</v>
      </c>
      <c r="P62" s="89">
        <v>2</v>
      </c>
      <c r="Q62" s="89">
        <v>2</v>
      </c>
    </row>
    <row r="63" spans="1:17">
      <c r="A63" s="18"/>
      <c r="B63" s="77" t="s">
        <v>301</v>
      </c>
      <c r="C63" s="81">
        <f t="shared" ref="C63:Q63" si="22">-C62</f>
        <v>0</v>
      </c>
      <c r="D63" s="81">
        <f t="shared" si="22"/>
        <v>0</v>
      </c>
      <c r="E63" s="81">
        <f t="shared" si="22"/>
        <v>0</v>
      </c>
      <c r="F63" s="81">
        <f t="shared" si="22"/>
        <v>0</v>
      </c>
      <c r="G63" s="81">
        <f t="shared" si="22"/>
        <v>0</v>
      </c>
      <c r="H63" s="81">
        <f t="shared" si="22"/>
        <v>0</v>
      </c>
      <c r="I63" s="81">
        <f t="shared" si="22"/>
        <v>-2</v>
      </c>
      <c r="J63" s="81">
        <f t="shared" si="22"/>
        <v>-2</v>
      </c>
      <c r="K63" s="81">
        <f t="shared" si="22"/>
        <v>-2</v>
      </c>
      <c r="L63" s="81">
        <f t="shared" si="22"/>
        <v>-2</v>
      </c>
      <c r="M63" s="81">
        <f t="shared" si="22"/>
        <v>-2</v>
      </c>
      <c r="N63" s="81">
        <f t="shared" si="22"/>
        <v>-2</v>
      </c>
      <c r="O63" s="81">
        <f t="shared" si="22"/>
        <v>-2</v>
      </c>
      <c r="P63" s="81">
        <f t="shared" si="22"/>
        <v>-2</v>
      </c>
      <c r="Q63" s="81">
        <f t="shared" si="22"/>
        <v>-2</v>
      </c>
    </row>
    <row r="64" spans="1:17">
      <c r="A64" s="18"/>
      <c r="B64" s="77" t="s">
        <v>302</v>
      </c>
      <c r="C64" s="79">
        <v>0</v>
      </c>
      <c r="D64" s="79">
        <v>0</v>
      </c>
      <c r="E64" s="79">
        <v>0</v>
      </c>
      <c r="F64" s="79">
        <v>0</v>
      </c>
      <c r="G64" s="79">
        <v>0.02</v>
      </c>
      <c r="H64" s="79">
        <v>0.02</v>
      </c>
      <c r="I64" s="79">
        <v>0.02</v>
      </c>
      <c r="J64" s="79">
        <v>0.02</v>
      </c>
      <c r="K64" s="79">
        <v>0.02</v>
      </c>
      <c r="L64" s="79">
        <v>0.02</v>
      </c>
      <c r="M64" s="79">
        <v>0.02</v>
      </c>
      <c r="N64" s="79">
        <v>0.02</v>
      </c>
      <c r="O64" s="79">
        <v>0.02</v>
      </c>
      <c r="P64" s="79">
        <v>0.02</v>
      </c>
      <c r="Q64" s="79">
        <v>0.02</v>
      </c>
    </row>
    <row r="65" spans="1:19">
      <c r="A65" s="18"/>
      <c r="B65" s="77" t="s">
        <v>303</v>
      </c>
      <c r="C65" s="81">
        <f t="shared" ref="C65:Q65" si="23">-C38*C64</f>
        <v>0</v>
      </c>
      <c r="D65" s="81">
        <f t="shared" si="23"/>
        <v>0</v>
      </c>
      <c r="E65" s="81">
        <f t="shared" si="23"/>
        <v>0</v>
      </c>
      <c r="F65" s="81">
        <f t="shared" si="23"/>
        <v>0</v>
      </c>
      <c r="G65" s="81">
        <f t="shared" si="23"/>
        <v>-5.2416000000000009</v>
      </c>
      <c r="H65" s="81">
        <f t="shared" si="23"/>
        <v>-9.6951000000000001</v>
      </c>
      <c r="I65" s="81">
        <f t="shared" si="23"/>
        <v>-19.109475</v>
      </c>
      <c r="J65" s="81">
        <f t="shared" si="23"/>
        <v>-31.497375000000002</v>
      </c>
      <c r="K65" s="81">
        <f t="shared" si="23"/>
        <v>-46.0503</v>
      </c>
      <c r="L65" s="81">
        <f t="shared" si="23"/>
        <v>-54.821760000000005</v>
      </c>
      <c r="M65" s="81">
        <f t="shared" si="23"/>
        <v>-63.436400999999996</v>
      </c>
      <c r="N65" s="81">
        <f t="shared" si="23"/>
        <v>-68.710250400000007</v>
      </c>
      <c r="O65" s="81">
        <f t="shared" si="23"/>
        <v>-68.710250400000007</v>
      </c>
      <c r="P65" s="81">
        <f t="shared" si="23"/>
        <v>-68.710250400000007</v>
      </c>
      <c r="Q65" s="81">
        <f t="shared" si="23"/>
        <v>-68.710250400000007</v>
      </c>
    </row>
    <row r="66" spans="1:19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9">
      <c r="A67" s="16" t="s">
        <v>304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2"/>
      <c r="P67" s="2"/>
      <c r="Q67" s="2"/>
    </row>
    <row r="68" spans="1:19">
      <c r="A68" s="18"/>
      <c r="B68" s="90" t="s">
        <v>305</v>
      </c>
      <c r="C68" s="81">
        <f t="shared" ref="C68:Q68" si="24">ROUND(28*C5/150,0)</f>
        <v>0</v>
      </c>
      <c r="D68" s="81">
        <f t="shared" si="24"/>
        <v>0</v>
      </c>
      <c r="E68" s="81">
        <f t="shared" si="24"/>
        <v>0</v>
      </c>
      <c r="F68" s="81">
        <f t="shared" si="24"/>
        <v>0</v>
      </c>
      <c r="G68" s="81">
        <f t="shared" si="24"/>
        <v>28</v>
      </c>
      <c r="H68" s="81">
        <f t="shared" si="24"/>
        <v>28</v>
      </c>
      <c r="I68" s="81">
        <f t="shared" si="24"/>
        <v>28</v>
      </c>
      <c r="J68" s="81">
        <f t="shared" si="24"/>
        <v>28</v>
      </c>
      <c r="K68" s="81">
        <f t="shared" si="24"/>
        <v>28</v>
      </c>
      <c r="L68" s="81">
        <f t="shared" si="24"/>
        <v>28</v>
      </c>
      <c r="M68" s="81">
        <f t="shared" si="24"/>
        <v>28</v>
      </c>
      <c r="N68" s="81">
        <f t="shared" si="24"/>
        <v>28</v>
      </c>
      <c r="O68" s="81">
        <f t="shared" si="24"/>
        <v>28</v>
      </c>
      <c r="P68" s="81">
        <f t="shared" si="24"/>
        <v>28</v>
      </c>
      <c r="Q68" s="81">
        <f t="shared" si="24"/>
        <v>28</v>
      </c>
    </row>
    <row r="69" spans="1:19">
      <c r="A69" s="18"/>
      <c r="B69" s="77" t="s">
        <v>306</v>
      </c>
      <c r="C69" s="78">
        <v>0</v>
      </c>
      <c r="D69" s="78">
        <v>0</v>
      </c>
      <c r="E69" s="78">
        <v>0</v>
      </c>
      <c r="F69" s="78">
        <v>0</v>
      </c>
      <c r="G69" s="78">
        <v>325000</v>
      </c>
      <c r="H69" s="78">
        <v>325000</v>
      </c>
      <c r="I69" s="78">
        <v>325000</v>
      </c>
      <c r="J69" s="78">
        <v>325000</v>
      </c>
      <c r="K69" s="78">
        <v>325000</v>
      </c>
      <c r="L69" s="78">
        <v>325000</v>
      </c>
      <c r="M69" s="78">
        <v>325000</v>
      </c>
      <c r="N69" s="78">
        <v>325000</v>
      </c>
      <c r="O69" s="78">
        <v>325000</v>
      </c>
      <c r="P69" s="78">
        <v>325000</v>
      </c>
      <c r="Q69" s="78">
        <v>325000</v>
      </c>
    </row>
    <row r="70" spans="1:19">
      <c r="A70" s="18"/>
      <c r="B70" s="77" t="s">
        <v>307</v>
      </c>
      <c r="C70" s="81">
        <f t="shared" ref="C70:Q70" si="25">-C68*C69/1000000</f>
        <v>0</v>
      </c>
      <c r="D70" s="81">
        <f t="shared" si="25"/>
        <v>0</v>
      </c>
      <c r="E70" s="81">
        <f t="shared" si="25"/>
        <v>0</v>
      </c>
      <c r="F70" s="81">
        <f t="shared" si="25"/>
        <v>0</v>
      </c>
      <c r="G70" s="81">
        <f t="shared" si="25"/>
        <v>-9.1</v>
      </c>
      <c r="H70" s="81">
        <f t="shared" si="25"/>
        <v>-9.1</v>
      </c>
      <c r="I70" s="81">
        <f t="shared" si="25"/>
        <v>-9.1</v>
      </c>
      <c r="J70" s="81">
        <f t="shared" si="25"/>
        <v>-9.1</v>
      </c>
      <c r="K70" s="81">
        <f t="shared" si="25"/>
        <v>-9.1</v>
      </c>
      <c r="L70" s="81">
        <f t="shared" si="25"/>
        <v>-9.1</v>
      </c>
      <c r="M70" s="81">
        <f t="shared" si="25"/>
        <v>-9.1</v>
      </c>
      <c r="N70" s="81">
        <f t="shared" si="25"/>
        <v>-9.1</v>
      </c>
      <c r="O70" s="81">
        <f t="shared" si="25"/>
        <v>-9.1</v>
      </c>
      <c r="P70" s="81">
        <f t="shared" si="25"/>
        <v>-9.1</v>
      </c>
      <c r="Q70" s="81">
        <f t="shared" si="25"/>
        <v>-9.1</v>
      </c>
    </row>
    <row r="71" spans="1:19">
      <c r="A71" s="18"/>
      <c r="B71" s="77" t="s">
        <v>308</v>
      </c>
      <c r="C71" s="81">
        <f t="shared" ref="C71:Q71" si="26">ROUND(14*C5/150,0)</f>
        <v>0</v>
      </c>
      <c r="D71" s="81">
        <f t="shared" si="26"/>
        <v>0</v>
      </c>
      <c r="E71" s="81">
        <f t="shared" si="26"/>
        <v>0</v>
      </c>
      <c r="F71" s="81">
        <f t="shared" si="26"/>
        <v>0</v>
      </c>
      <c r="G71" s="81">
        <f t="shared" si="26"/>
        <v>14</v>
      </c>
      <c r="H71" s="81">
        <f t="shared" si="26"/>
        <v>14</v>
      </c>
      <c r="I71" s="81">
        <f t="shared" si="26"/>
        <v>14</v>
      </c>
      <c r="J71" s="81">
        <f t="shared" si="26"/>
        <v>14</v>
      </c>
      <c r="K71" s="81">
        <f t="shared" si="26"/>
        <v>14</v>
      </c>
      <c r="L71" s="81">
        <f t="shared" si="26"/>
        <v>14</v>
      </c>
      <c r="M71" s="81">
        <f t="shared" si="26"/>
        <v>14</v>
      </c>
      <c r="N71" s="81">
        <f t="shared" si="26"/>
        <v>14</v>
      </c>
      <c r="O71" s="81">
        <f t="shared" si="26"/>
        <v>14</v>
      </c>
      <c r="P71" s="81">
        <f t="shared" si="26"/>
        <v>14</v>
      </c>
      <c r="Q71" s="81">
        <f t="shared" si="26"/>
        <v>14</v>
      </c>
    </row>
    <row r="72" spans="1:19">
      <c r="A72" s="18"/>
      <c r="B72" s="77" t="s">
        <v>309</v>
      </c>
      <c r="C72" s="78">
        <v>0</v>
      </c>
      <c r="D72" s="78">
        <v>0</v>
      </c>
      <c r="E72" s="78">
        <v>0</v>
      </c>
      <c r="F72" s="78">
        <v>0</v>
      </c>
      <c r="G72" s="78">
        <v>320000</v>
      </c>
      <c r="H72" s="78">
        <v>320000</v>
      </c>
      <c r="I72" s="78">
        <v>320000</v>
      </c>
      <c r="J72" s="78">
        <v>320000</v>
      </c>
      <c r="K72" s="78">
        <v>320000</v>
      </c>
      <c r="L72" s="78">
        <v>320000</v>
      </c>
      <c r="M72" s="78">
        <v>320000</v>
      </c>
      <c r="N72" s="78">
        <v>320000</v>
      </c>
      <c r="O72" s="78">
        <v>320000</v>
      </c>
      <c r="P72" s="78">
        <v>320000</v>
      </c>
      <c r="Q72" s="78">
        <v>320000</v>
      </c>
    </row>
    <row r="73" spans="1:19">
      <c r="A73" s="18"/>
      <c r="B73" s="77" t="s">
        <v>310</v>
      </c>
      <c r="C73" s="81">
        <f t="shared" ref="C73:Q73" si="27">-C71*C72/1000000</f>
        <v>0</v>
      </c>
      <c r="D73" s="81">
        <f t="shared" si="27"/>
        <v>0</v>
      </c>
      <c r="E73" s="81">
        <f t="shared" si="27"/>
        <v>0</v>
      </c>
      <c r="F73" s="81">
        <f t="shared" si="27"/>
        <v>0</v>
      </c>
      <c r="G73" s="81">
        <f t="shared" si="27"/>
        <v>-4.4800000000000004</v>
      </c>
      <c r="H73" s="81">
        <f t="shared" si="27"/>
        <v>-4.4800000000000004</v>
      </c>
      <c r="I73" s="81">
        <f t="shared" si="27"/>
        <v>-4.4800000000000004</v>
      </c>
      <c r="J73" s="81">
        <f t="shared" si="27"/>
        <v>-4.4800000000000004</v>
      </c>
      <c r="K73" s="81">
        <f t="shared" si="27"/>
        <v>-4.4800000000000004</v>
      </c>
      <c r="L73" s="81">
        <f t="shared" si="27"/>
        <v>-4.4800000000000004</v>
      </c>
      <c r="M73" s="81">
        <f t="shared" si="27"/>
        <v>-4.4800000000000004</v>
      </c>
      <c r="N73" s="81">
        <f t="shared" si="27"/>
        <v>-4.4800000000000004</v>
      </c>
      <c r="O73" s="81">
        <f t="shared" si="27"/>
        <v>-4.4800000000000004</v>
      </c>
      <c r="P73" s="81">
        <f t="shared" si="27"/>
        <v>-4.4800000000000004</v>
      </c>
      <c r="Q73" s="81">
        <f t="shared" si="27"/>
        <v>-4.4800000000000004</v>
      </c>
    </row>
    <row r="74" spans="1:19">
      <c r="A74" s="18"/>
      <c r="B74" s="77" t="s">
        <v>311</v>
      </c>
      <c r="C74" s="78">
        <v>0</v>
      </c>
      <c r="D74" s="78">
        <v>0</v>
      </c>
      <c r="E74" s="78">
        <v>0</v>
      </c>
      <c r="F74" s="78">
        <v>0</v>
      </c>
      <c r="G74" s="78">
        <v>500</v>
      </c>
      <c r="H74" s="78">
        <v>500</v>
      </c>
      <c r="I74" s="78">
        <v>500</v>
      </c>
      <c r="J74" s="78">
        <v>500</v>
      </c>
      <c r="K74" s="78">
        <v>500</v>
      </c>
      <c r="L74" s="78">
        <v>500</v>
      </c>
      <c r="M74" s="78">
        <v>500</v>
      </c>
      <c r="N74" s="78">
        <v>500</v>
      </c>
      <c r="O74" s="78">
        <v>500</v>
      </c>
      <c r="P74" s="78">
        <v>500</v>
      </c>
      <c r="Q74" s="78">
        <v>500</v>
      </c>
    </row>
    <row r="75" spans="1:19">
      <c r="A75" s="18"/>
      <c r="B75" s="77" t="s">
        <v>312</v>
      </c>
      <c r="C75" s="81">
        <f t="shared" ref="C75:Q75" si="28">-C5*C74*12/1000000</f>
        <v>0</v>
      </c>
      <c r="D75" s="81">
        <f t="shared" si="28"/>
        <v>0</v>
      </c>
      <c r="E75" s="81">
        <f t="shared" si="28"/>
        <v>0</v>
      </c>
      <c r="F75" s="81">
        <f t="shared" si="28"/>
        <v>0</v>
      </c>
      <c r="G75" s="81">
        <f t="shared" si="28"/>
        <v>-0.9</v>
      </c>
      <c r="H75" s="81">
        <f t="shared" si="28"/>
        <v>-0.9</v>
      </c>
      <c r="I75" s="81">
        <f t="shared" si="28"/>
        <v>-0.9</v>
      </c>
      <c r="J75" s="81">
        <f t="shared" si="28"/>
        <v>-0.9</v>
      </c>
      <c r="K75" s="81">
        <f t="shared" si="28"/>
        <v>-0.9</v>
      </c>
      <c r="L75" s="81">
        <f t="shared" si="28"/>
        <v>-0.9</v>
      </c>
      <c r="M75" s="81">
        <f t="shared" si="28"/>
        <v>-0.9</v>
      </c>
      <c r="N75" s="81">
        <f t="shared" si="28"/>
        <v>-0.9</v>
      </c>
      <c r="O75" s="81">
        <f t="shared" si="28"/>
        <v>-0.9</v>
      </c>
      <c r="P75" s="81">
        <f t="shared" si="28"/>
        <v>-0.9</v>
      </c>
      <c r="Q75" s="81">
        <f t="shared" si="28"/>
        <v>-0.9</v>
      </c>
    </row>
    <row r="76" spans="1:19">
      <c r="A76" s="18"/>
      <c r="B76" s="85" t="s">
        <v>313</v>
      </c>
      <c r="C76" s="86">
        <f t="shared" ref="C76:Q76" si="29">C70+C73+C75</f>
        <v>0</v>
      </c>
      <c r="D76" s="86">
        <f t="shared" si="29"/>
        <v>0</v>
      </c>
      <c r="E76" s="86">
        <f t="shared" si="29"/>
        <v>0</v>
      </c>
      <c r="F76" s="86">
        <f t="shared" si="29"/>
        <v>0</v>
      </c>
      <c r="G76" s="86">
        <f t="shared" si="29"/>
        <v>-14.48</v>
      </c>
      <c r="H76" s="86">
        <f t="shared" si="29"/>
        <v>-14.48</v>
      </c>
      <c r="I76" s="86">
        <f t="shared" si="29"/>
        <v>-14.48</v>
      </c>
      <c r="J76" s="86">
        <f t="shared" si="29"/>
        <v>-14.48</v>
      </c>
      <c r="K76" s="86">
        <f t="shared" si="29"/>
        <v>-14.48</v>
      </c>
      <c r="L76" s="86">
        <f t="shared" si="29"/>
        <v>-14.48</v>
      </c>
      <c r="M76" s="86">
        <f t="shared" si="29"/>
        <v>-14.48</v>
      </c>
      <c r="N76" s="86">
        <f t="shared" si="29"/>
        <v>-14.48</v>
      </c>
      <c r="O76" s="86">
        <f t="shared" si="29"/>
        <v>-14.48</v>
      </c>
      <c r="P76" s="86">
        <f t="shared" si="29"/>
        <v>-14.48</v>
      </c>
      <c r="Q76" s="86">
        <f t="shared" si="29"/>
        <v>-14.48</v>
      </c>
    </row>
    <row r="77" spans="1:19">
      <c r="A77" s="18"/>
      <c r="B77" s="22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9">
      <c r="A78" s="16" t="s">
        <v>314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2"/>
      <c r="P78" s="2"/>
      <c r="Q78" s="2"/>
    </row>
    <row r="79" spans="1:19">
      <c r="A79" s="18"/>
      <c r="B79" s="77" t="s">
        <v>315</v>
      </c>
      <c r="C79" s="80">
        <v>0</v>
      </c>
      <c r="D79" s="80">
        <v>0</v>
      </c>
      <c r="E79" s="80">
        <v>0</v>
      </c>
      <c r="F79" s="80">
        <v>25</v>
      </c>
      <c r="G79" s="80">
        <v>0</v>
      </c>
      <c r="H79" s="80">
        <v>0</v>
      </c>
      <c r="I79" s="80">
        <v>0</v>
      </c>
      <c r="J79" s="80">
        <v>0</v>
      </c>
      <c r="K79" s="80">
        <v>0</v>
      </c>
      <c r="L79" s="80">
        <v>0</v>
      </c>
      <c r="M79" s="80">
        <v>0</v>
      </c>
      <c r="N79" s="80">
        <v>0</v>
      </c>
      <c r="O79" s="80">
        <v>0</v>
      </c>
      <c r="P79" s="80">
        <v>0</v>
      </c>
      <c r="Q79" s="80">
        <v>0</v>
      </c>
      <c r="S79" t="s">
        <v>490</v>
      </c>
    </row>
    <row r="80" spans="1:19">
      <c r="A80" s="18"/>
      <c r="B80" s="77" t="s">
        <v>316</v>
      </c>
      <c r="C80" s="81">
        <f t="shared" ref="C80:Q80" si="30">-C79</f>
        <v>0</v>
      </c>
      <c r="D80" s="81">
        <f t="shared" si="30"/>
        <v>0</v>
      </c>
      <c r="E80" s="81">
        <f t="shared" si="30"/>
        <v>0</v>
      </c>
      <c r="F80" s="81">
        <f t="shared" si="30"/>
        <v>-25</v>
      </c>
      <c r="G80" s="81">
        <f t="shared" si="30"/>
        <v>0</v>
      </c>
      <c r="H80" s="81">
        <f t="shared" si="30"/>
        <v>0</v>
      </c>
      <c r="I80" s="81">
        <f t="shared" si="30"/>
        <v>0</v>
      </c>
      <c r="J80" s="81">
        <f t="shared" si="30"/>
        <v>0</v>
      </c>
      <c r="K80" s="81">
        <f t="shared" si="30"/>
        <v>0</v>
      </c>
      <c r="L80" s="81">
        <f t="shared" si="30"/>
        <v>0</v>
      </c>
      <c r="M80" s="81">
        <f t="shared" si="30"/>
        <v>0</v>
      </c>
      <c r="N80" s="81">
        <f t="shared" si="30"/>
        <v>0</v>
      </c>
      <c r="O80" s="81">
        <f t="shared" si="30"/>
        <v>0</v>
      </c>
      <c r="P80" s="81">
        <f t="shared" si="30"/>
        <v>0</v>
      </c>
      <c r="Q80" s="81">
        <f t="shared" si="30"/>
        <v>0</v>
      </c>
    </row>
    <row r="81" spans="1:17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7">
      <c r="A82" s="16" t="s">
        <v>317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2"/>
      <c r="P82" s="2"/>
      <c r="Q82" s="2"/>
    </row>
    <row r="83" spans="1:17">
      <c r="A83" s="18"/>
      <c r="B83" s="77" t="s">
        <v>318</v>
      </c>
      <c r="C83" s="78">
        <v>0</v>
      </c>
      <c r="D83" s="78">
        <v>0</v>
      </c>
      <c r="E83" s="78">
        <v>0</v>
      </c>
      <c r="F83" s="78">
        <v>0</v>
      </c>
      <c r="G83" s="78">
        <v>200</v>
      </c>
      <c r="H83" s="78">
        <v>500</v>
      </c>
      <c r="I83" s="78">
        <v>900</v>
      </c>
      <c r="J83" s="78">
        <v>1300</v>
      </c>
      <c r="K83" s="78">
        <v>1700</v>
      </c>
      <c r="L83" s="78">
        <v>2000</v>
      </c>
      <c r="M83" s="78">
        <v>2200</v>
      </c>
      <c r="N83" s="78">
        <v>2400</v>
      </c>
      <c r="O83" s="78">
        <v>2400</v>
      </c>
      <c r="P83" s="78">
        <v>2400</v>
      </c>
      <c r="Q83" s="78">
        <v>2400</v>
      </c>
    </row>
    <row r="84" spans="1:17">
      <c r="A84" s="18"/>
      <c r="B84" s="77" t="s">
        <v>319</v>
      </c>
      <c r="C84" s="78">
        <v>0</v>
      </c>
      <c r="D84" s="78">
        <v>0</v>
      </c>
      <c r="E84" s="78">
        <v>0</v>
      </c>
      <c r="F84" s="78">
        <v>0</v>
      </c>
      <c r="G84" s="78">
        <v>5000</v>
      </c>
      <c r="H84" s="78">
        <v>5000</v>
      </c>
      <c r="I84" s="78">
        <v>5000</v>
      </c>
      <c r="J84" s="78">
        <v>5000</v>
      </c>
      <c r="K84" s="78">
        <v>5000</v>
      </c>
      <c r="L84" s="78">
        <v>5000</v>
      </c>
      <c r="M84" s="78">
        <v>5000</v>
      </c>
      <c r="N84" s="78">
        <v>5000</v>
      </c>
      <c r="O84" s="78">
        <v>5000</v>
      </c>
      <c r="P84" s="78">
        <v>5000</v>
      </c>
      <c r="Q84" s="78">
        <v>5000</v>
      </c>
    </row>
    <row r="85" spans="1:17">
      <c r="A85" s="18"/>
      <c r="B85" s="77" t="s">
        <v>320</v>
      </c>
      <c r="C85" s="91">
        <f t="shared" ref="C85:Q85" si="31">C83*C84/1000000</f>
        <v>0</v>
      </c>
      <c r="D85" s="91">
        <f t="shared" si="31"/>
        <v>0</v>
      </c>
      <c r="E85" s="91">
        <f t="shared" si="31"/>
        <v>0</v>
      </c>
      <c r="F85" s="91">
        <f t="shared" si="31"/>
        <v>0</v>
      </c>
      <c r="G85" s="91">
        <f t="shared" si="31"/>
        <v>1</v>
      </c>
      <c r="H85" s="91">
        <f t="shared" si="31"/>
        <v>2.5</v>
      </c>
      <c r="I85" s="91">
        <f t="shared" si="31"/>
        <v>4.5</v>
      </c>
      <c r="J85" s="91">
        <f t="shared" si="31"/>
        <v>6.5</v>
      </c>
      <c r="K85" s="91">
        <f t="shared" si="31"/>
        <v>8.5</v>
      </c>
      <c r="L85" s="91">
        <f t="shared" si="31"/>
        <v>10</v>
      </c>
      <c r="M85" s="91">
        <f t="shared" si="31"/>
        <v>11</v>
      </c>
      <c r="N85" s="91">
        <f t="shared" si="31"/>
        <v>12</v>
      </c>
      <c r="O85" s="91">
        <f t="shared" si="31"/>
        <v>12</v>
      </c>
      <c r="P85" s="91">
        <f t="shared" si="31"/>
        <v>12</v>
      </c>
      <c r="Q85" s="91">
        <f t="shared" si="31"/>
        <v>12</v>
      </c>
    </row>
    <row r="86" spans="1:17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7">
      <c r="A87" s="18"/>
      <c r="B87" s="77" t="s">
        <v>321</v>
      </c>
      <c r="C87" s="78">
        <v>0</v>
      </c>
      <c r="D87" s="78">
        <v>0</v>
      </c>
      <c r="E87" s="78">
        <v>0</v>
      </c>
      <c r="F87" s="78">
        <v>0</v>
      </c>
      <c r="G87" s="78">
        <v>17000</v>
      </c>
      <c r="H87" s="78">
        <v>17000</v>
      </c>
      <c r="I87" s="78">
        <v>17000</v>
      </c>
      <c r="J87" s="78">
        <v>17000</v>
      </c>
      <c r="K87" s="78">
        <v>17000</v>
      </c>
      <c r="L87" s="78">
        <v>17000</v>
      </c>
      <c r="M87" s="78">
        <v>17000</v>
      </c>
      <c r="N87" s="78">
        <v>17000</v>
      </c>
      <c r="O87" s="78">
        <v>17000</v>
      </c>
      <c r="P87" s="78">
        <v>17000</v>
      </c>
      <c r="Q87" s="78">
        <v>17000</v>
      </c>
    </row>
    <row r="88" spans="1:17">
      <c r="A88" s="18"/>
      <c r="B88" s="77" t="s">
        <v>322</v>
      </c>
      <c r="C88" s="91">
        <f t="shared" ref="C88:Q88" si="32">C26*C87/1000000</f>
        <v>0</v>
      </c>
      <c r="D88" s="91">
        <f t="shared" si="32"/>
        <v>0</v>
      </c>
      <c r="E88" s="91">
        <f t="shared" si="32"/>
        <v>0</v>
      </c>
      <c r="F88" s="91">
        <f t="shared" si="32"/>
        <v>0</v>
      </c>
      <c r="G88" s="91">
        <f t="shared" si="32"/>
        <v>0.91800000000000004</v>
      </c>
      <c r="H88" s="91">
        <f t="shared" si="32"/>
        <v>2.2440000000000002</v>
      </c>
      <c r="I88" s="91">
        <f t="shared" si="32"/>
        <v>5.8905000000000003</v>
      </c>
      <c r="J88" s="91">
        <f t="shared" si="32"/>
        <v>11.602499999999999</v>
      </c>
      <c r="K88" s="91">
        <f t="shared" si="32"/>
        <v>18.3141</v>
      </c>
      <c r="L88" s="91">
        <f t="shared" si="32"/>
        <v>22.847999999999999</v>
      </c>
      <c r="M88" s="91">
        <f t="shared" si="32"/>
        <v>27.310500000000001</v>
      </c>
      <c r="N88" s="91">
        <f t="shared" si="32"/>
        <v>30.105504</v>
      </c>
      <c r="O88" s="91">
        <f t="shared" si="32"/>
        <v>30.105504</v>
      </c>
      <c r="P88" s="91">
        <f t="shared" si="32"/>
        <v>30.105504</v>
      </c>
      <c r="Q88" s="91">
        <f t="shared" si="32"/>
        <v>30.105504</v>
      </c>
    </row>
    <row r="89" spans="1:17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7">
      <c r="A90" s="18"/>
      <c r="B90" s="90" t="s">
        <v>323</v>
      </c>
      <c r="C90" s="78">
        <v>0</v>
      </c>
      <c r="D90" s="78">
        <v>0</v>
      </c>
      <c r="E90" s="78">
        <v>0</v>
      </c>
      <c r="F90" s="78">
        <v>0</v>
      </c>
      <c r="G90" s="78">
        <v>800</v>
      </c>
      <c r="H90" s="78">
        <v>1500</v>
      </c>
      <c r="I90" s="78">
        <v>2500</v>
      </c>
      <c r="J90" s="78">
        <v>3500</v>
      </c>
      <c r="K90" s="78">
        <v>4500</v>
      </c>
      <c r="L90" s="78">
        <v>5500</v>
      </c>
      <c r="M90" s="78">
        <v>6500</v>
      </c>
      <c r="N90" s="78">
        <v>7500</v>
      </c>
      <c r="O90" s="78">
        <v>7500</v>
      </c>
      <c r="P90" s="78">
        <v>7500</v>
      </c>
      <c r="Q90" s="78">
        <v>7500</v>
      </c>
    </row>
    <row r="91" spans="1:17">
      <c r="A91" s="18"/>
      <c r="B91" s="77" t="s">
        <v>324</v>
      </c>
      <c r="C91" s="78">
        <v>0</v>
      </c>
      <c r="D91" s="78">
        <v>0</v>
      </c>
      <c r="E91" s="78">
        <v>0</v>
      </c>
      <c r="F91" s="78">
        <v>0</v>
      </c>
      <c r="G91" s="78">
        <v>780</v>
      </c>
      <c r="H91" s="78">
        <v>780</v>
      </c>
      <c r="I91" s="78">
        <v>780</v>
      </c>
      <c r="J91" s="78">
        <v>780</v>
      </c>
      <c r="K91" s="78">
        <v>780</v>
      </c>
      <c r="L91" s="78">
        <v>780</v>
      </c>
      <c r="M91" s="78">
        <v>780</v>
      </c>
      <c r="N91" s="78">
        <v>780</v>
      </c>
      <c r="O91" s="78">
        <v>780</v>
      </c>
      <c r="P91" s="78">
        <v>780</v>
      </c>
      <c r="Q91" s="78">
        <v>780</v>
      </c>
    </row>
    <row r="92" spans="1:17">
      <c r="A92" s="18"/>
      <c r="B92" s="77" t="s">
        <v>325</v>
      </c>
      <c r="C92" s="91">
        <f t="shared" ref="C92:Q92" si="33">C90*C91/1000000</f>
        <v>0</v>
      </c>
      <c r="D92" s="91">
        <f t="shared" si="33"/>
        <v>0</v>
      </c>
      <c r="E92" s="91">
        <f t="shared" si="33"/>
        <v>0</v>
      </c>
      <c r="F92" s="91">
        <f t="shared" si="33"/>
        <v>0</v>
      </c>
      <c r="G92" s="91">
        <f t="shared" si="33"/>
        <v>0.624</v>
      </c>
      <c r="H92" s="91">
        <f t="shared" si="33"/>
        <v>1.17</v>
      </c>
      <c r="I92" s="91">
        <f t="shared" si="33"/>
        <v>1.95</v>
      </c>
      <c r="J92" s="91">
        <f t="shared" si="33"/>
        <v>2.73</v>
      </c>
      <c r="K92" s="91">
        <f t="shared" si="33"/>
        <v>3.51</v>
      </c>
      <c r="L92" s="91">
        <f t="shared" si="33"/>
        <v>4.29</v>
      </c>
      <c r="M92" s="91">
        <f t="shared" si="33"/>
        <v>5.07</v>
      </c>
      <c r="N92" s="91">
        <f t="shared" si="33"/>
        <v>5.85</v>
      </c>
      <c r="O92" s="91">
        <f t="shared" si="33"/>
        <v>5.85</v>
      </c>
      <c r="P92" s="91">
        <f t="shared" si="33"/>
        <v>5.85</v>
      </c>
      <c r="Q92" s="91">
        <f t="shared" si="33"/>
        <v>5.85</v>
      </c>
    </row>
    <row r="93" spans="1:17">
      <c r="A93" s="18"/>
      <c r="B93" s="77" t="s">
        <v>326</v>
      </c>
      <c r="C93" s="92">
        <v>0</v>
      </c>
      <c r="D93" s="92">
        <v>0</v>
      </c>
      <c r="E93" s="92">
        <v>0</v>
      </c>
      <c r="F93" s="92">
        <v>0</v>
      </c>
      <c r="G93" s="92">
        <v>0.6</v>
      </c>
      <c r="H93" s="92">
        <v>0.6</v>
      </c>
      <c r="I93" s="92">
        <v>0.6</v>
      </c>
      <c r="J93" s="92">
        <v>0.6</v>
      </c>
      <c r="K93" s="92">
        <v>0.6</v>
      </c>
      <c r="L93" s="92">
        <v>0.6</v>
      </c>
      <c r="M93" s="92">
        <v>0.6</v>
      </c>
      <c r="N93" s="92">
        <v>0.6</v>
      </c>
      <c r="O93" s="92">
        <v>0.6</v>
      </c>
      <c r="P93" s="92">
        <v>0.6</v>
      </c>
      <c r="Q93" s="92">
        <v>0.6</v>
      </c>
    </row>
    <row r="94" spans="1:17">
      <c r="A94" s="18"/>
      <c r="B94" s="77" t="s">
        <v>327</v>
      </c>
      <c r="C94" s="78">
        <v>0</v>
      </c>
      <c r="D94" s="78">
        <v>0</v>
      </c>
      <c r="E94" s="78">
        <v>0</v>
      </c>
      <c r="F94" s="78">
        <v>0</v>
      </c>
      <c r="G94" s="78">
        <v>100</v>
      </c>
      <c r="H94" s="78">
        <v>100</v>
      </c>
      <c r="I94" s="78">
        <v>100</v>
      </c>
      <c r="J94" s="78">
        <v>100</v>
      </c>
      <c r="K94" s="78">
        <v>100</v>
      </c>
      <c r="L94" s="78">
        <v>100</v>
      </c>
      <c r="M94" s="78">
        <v>100</v>
      </c>
      <c r="N94" s="78">
        <v>100</v>
      </c>
      <c r="O94" s="78">
        <v>100</v>
      </c>
      <c r="P94" s="78">
        <v>100</v>
      </c>
      <c r="Q94" s="78">
        <v>100</v>
      </c>
    </row>
    <row r="95" spans="1:17">
      <c r="A95" s="18"/>
      <c r="B95" s="77" t="s">
        <v>328</v>
      </c>
      <c r="C95" s="91">
        <f t="shared" ref="C95:Q95" si="34">C90*C93*C94/1000000</f>
        <v>0</v>
      </c>
      <c r="D95" s="91">
        <f t="shared" si="34"/>
        <v>0</v>
      </c>
      <c r="E95" s="91">
        <f t="shared" si="34"/>
        <v>0</v>
      </c>
      <c r="F95" s="91">
        <f t="shared" si="34"/>
        <v>0</v>
      </c>
      <c r="G95" s="91">
        <f t="shared" si="34"/>
        <v>4.8000000000000001E-2</v>
      </c>
      <c r="H95" s="91">
        <f t="shared" si="34"/>
        <v>0.09</v>
      </c>
      <c r="I95" s="91">
        <f t="shared" si="34"/>
        <v>0.15</v>
      </c>
      <c r="J95" s="91">
        <f t="shared" si="34"/>
        <v>0.21</v>
      </c>
      <c r="K95" s="91">
        <f t="shared" si="34"/>
        <v>0.27</v>
      </c>
      <c r="L95" s="91">
        <f t="shared" si="34"/>
        <v>0.33</v>
      </c>
      <c r="M95" s="91">
        <f t="shared" si="34"/>
        <v>0.39</v>
      </c>
      <c r="N95" s="91">
        <f t="shared" si="34"/>
        <v>0.45</v>
      </c>
      <c r="O95" s="91">
        <f t="shared" si="34"/>
        <v>0.45</v>
      </c>
      <c r="P95" s="91">
        <f t="shared" si="34"/>
        <v>0.45</v>
      </c>
      <c r="Q95" s="91">
        <f t="shared" si="34"/>
        <v>0.45</v>
      </c>
    </row>
    <row r="96" spans="1:17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 spans="1:17">
      <c r="A97" s="18"/>
      <c r="B97" s="77" t="s">
        <v>329</v>
      </c>
      <c r="C97" s="78">
        <v>0</v>
      </c>
      <c r="D97" s="78">
        <v>0</v>
      </c>
      <c r="E97" s="78">
        <v>0</v>
      </c>
      <c r="F97" s="78">
        <v>0</v>
      </c>
      <c r="G97" s="78">
        <v>1000</v>
      </c>
      <c r="H97" s="78">
        <v>2200</v>
      </c>
      <c r="I97" s="78">
        <v>3400</v>
      </c>
      <c r="J97" s="78">
        <v>4600</v>
      </c>
      <c r="K97" s="78">
        <v>5200</v>
      </c>
      <c r="L97" s="78">
        <v>5800</v>
      </c>
      <c r="M97" s="78">
        <v>6000</v>
      </c>
      <c r="N97" s="78">
        <v>6000</v>
      </c>
      <c r="O97" s="78">
        <v>6000</v>
      </c>
      <c r="P97" s="78">
        <v>6000</v>
      </c>
      <c r="Q97" s="78">
        <v>6000</v>
      </c>
    </row>
    <row r="98" spans="1:17">
      <c r="A98" s="18"/>
      <c r="B98" s="77" t="s">
        <v>330</v>
      </c>
      <c r="C98" s="78">
        <v>0</v>
      </c>
      <c r="D98" s="78">
        <v>0</v>
      </c>
      <c r="E98" s="78">
        <v>0</v>
      </c>
      <c r="F98" s="78">
        <v>0</v>
      </c>
      <c r="G98" s="78">
        <v>900</v>
      </c>
      <c r="H98" s="78">
        <v>900</v>
      </c>
      <c r="I98" s="78">
        <v>900</v>
      </c>
      <c r="J98" s="78">
        <v>900</v>
      </c>
      <c r="K98" s="78">
        <v>900</v>
      </c>
      <c r="L98" s="78">
        <v>900</v>
      </c>
      <c r="M98" s="78">
        <v>900</v>
      </c>
      <c r="N98" s="78">
        <v>900</v>
      </c>
      <c r="O98" s="78">
        <v>900</v>
      </c>
      <c r="P98" s="78">
        <v>900</v>
      </c>
      <c r="Q98" s="78">
        <v>900</v>
      </c>
    </row>
    <row r="99" spans="1:17">
      <c r="A99" s="18"/>
      <c r="B99" s="77" t="s">
        <v>331</v>
      </c>
      <c r="C99" s="91">
        <f t="shared" ref="C99:Q99" si="35">C97*C98/1000000</f>
        <v>0</v>
      </c>
      <c r="D99" s="91">
        <f t="shared" si="35"/>
        <v>0</v>
      </c>
      <c r="E99" s="91">
        <f t="shared" si="35"/>
        <v>0</v>
      </c>
      <c r="F99" s="91">
        <f t="shared" si="35"/>
        <v>0</v>
      </c>
      <c r="G99" s="91">
        <f t="shared" si="35"/>
        <v>0.9</v>
      </c>
      <c r="H99" s="91">
        <f t="shared" si="35"/>
        <v>1.98</v>
      </c>
      <c r="I99" s="91">
        <f t="shared" si="35"/>
        <v>3.06</v>
      </c>
      <c r="J99" s="91">
        <f t="shared" si="35"/>
        <v>4.1399999999999997</v>
      </c>
      <c r="K99" s="91">
        <f t="shared" si="35"/>
        <v>4.68</v>
      </c>
      <c r="L99" s="91">
        <f t="shared" si="35"/>
        <v>5.22</v>
      </c>
      <c r="M99" s="91">
        <f t="shared" si="35"/>
        <v>5.4</v>
      </c>
      <c r="N99" s="91">
        <f t="shared" si="35"/>
        <v>5.4</v>
      </c>
      <c r="O99" s="91">
        <f t="shared" si="35"/>
        <v>5.4</v>
      </c>
      <c r="P99" s="91">
        <f t="shared" si="35"/>
        <v>5.4</v>
      </c>
      <c r="Q99" s="91">
        <f t="shared" si="35"/>
        <v>5.4</v>
      </c>
    </row>
    <row r="100" spans="1:17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</row>
    <row r="101" spans="1:17">
      <c r="A101" s="18"/>
      <c r="B101" s="85" t="s">
        <v>332</v>
      </c>
      <c r="C101" s="86">
        <f t="shared" ref="C101:Q101" si="36">C85+C88+C92+C95+C99</f>
        <v>0</v>
      </c>
      <c r="D101" s="86">
        <f t="shared" si="36"/>
        <v>0</v>
      </c>
      <c r="E101" s="86">
        <f t="shared" si="36"/>
        <v>0</v>
      </c>
      <c r="F101" s="86">
        <f t="shared" si="36"/>
        <v>0</v>
      </c>
      <c r="G101" s="86">
        <f t="shared" si="36"/>
        <v>3.49</v>
      </c>
      <c r="H101" s="86">
        <f t="shared" si="36"/>
        <v>7.984</v>
      </c>
      <c r="I101" s="86">
        <f t="shared" si="36"/>
        <v>15.5505</v>
      </c>
      <c r="J101" s="86">
        <f t="shared" si="36"/>
        <v>25.182500000000001</v>
      </c>
      <c r="K101" s="86">
        <f t="shared" si="36"/>
        <v>35.274100000000004</v>
      </c>
      <c r="L101" s="86">
        <f t="shared" si="36"/>
        <v>42.687999999999995</v>
      </c>
      <c r="M101" s="86">
        <f t="shared" si="36"/>
        <v>49.170500000000004</v>
      </c>
      <c r="N101" s="86">
        <f t="shared" si="36"/>
        <v>53.805503999999999</v>
      </c>
      <c r="O101" s="86">
        <f t="shared" si="36"/>
        <v>53.805503999999999</v>
      </c>
      <c r="P101" s="86">
        <f t="shared" si="36"/>
        <v>53.805503999999999</v>
      </c>
      <c r="Q101" s="86">
        <f t="shared" si="36"/>
        <v>53.805503999999999</v>
      </c>
    </row>
    <row r="102" spans="1:17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</row>
    <row r="103" spans="1:17">
      <c r="A103" s="16" t="s">
        <v>333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2"/>
      <c r="P103" s="2"/>
      <c r="Q103" s="2"/>
    </row>
    <row r="104" spans="1:17">
      <c r="A104" s="18"/>
      <c r="B104" s="85" t="s">
        <v>333</v>
      </c>
      <c r="C104" s="88">
        <f t="shared" ref="C104:Q104" si="37">C38+C49+C51+C53+C55+C57+C59+C61+C63+C65+C76+C80+C101+C146+C153</f>
        <v>0</v>
      </c>
      <c r="D104" s="88">
        <f t="shared" si="37"/>
        <v>0</v>
      </c>
      <c r="E104" s="88">
        <f t="shared" si="37"/>
        <v>0</v>
      </c>
      <c r="F104" s="88">
        <f t="shared" si="37"/>
        <v>-41.5</v>
      </c>
      <c r="G104" s="88">
        <f t="shared" si="37"/>
        <v>-231.12971999999993</v>
      </c>
      <c r="H104" s="88">
        <f t="shared" si="37"/>
        <v>-56.910419999999988</v>
      </c>
      <c r="I104" s="88">
        <f t="shared" si="37"/>
        <v>335.46960499999994</v>
      </c>
      <c r="J104" s="88">
        <f t="shared" si="37"/>
        <v>898.86777500000005</v>
      </c>
      <c r="K104" s="88">
        <f t="shared" si="37"/>
        <v>1561.5083399999999</v>
      </c>
      <c r="L104" s="88">
        <f t="shared" si="37"/>
        <v>1999.0056880000009</v>
      </c>
      <c r="M104" s="88">
        <f t="shared" si="37"/>
        <v>2414.8624643000007</v>
      </c>
      <c r="N104" s="88">
        <f t="shared" si="37"/>
        <v>2687.6017219200003</v>
      </c>
      <c r="O104" s="88">
        <f t="shared" si="37"/>
        <v>2687.6017219200003</v>
      </c>
      <c r="P104" s="88">
        <f t="shared" si="37"/>
        <v>2687.6017219200003</v>
      </c>
      <c r="Q104" s="88">
        <f t="shared" si="37"/>
        <v>2687.6017219200003</v>
      </c>
    </row>
    <row r="105" spans="1:17">
      <c r="A105" s="18"/>
      <c r="B105" s="77" t="s">
        <v>334</v>
      </c>
      <c r="C105" s="82">
        <f t="shared" ref="C105:Q105" si="38">IFERROR(C104/C38,0)</f>
        <v>0</v>
      </c>
      <c r="D105" s="82">
        <f t="shared" si="38"/>
        <v>0</v>
      </c>
      <c r="E105" s="82">
        <f t="shared" si="38"/>
        <v>0</v>
      </c>
      <c r="F105" s="82">
        <f t="shared" si="38"/>
        <v>0</v>
      </c>
      <c r="G105" s="82">
        <f t="shared" si="38"/>
        <v>-0.88190521978021941</v>
      </c>
      <c r="H105" s="82">
        <f t="shared" si="38"/>
        <v>-0.11740037751028867</v>
      </c>
      <c r="I105" s="82">
        <f t="shared" si="38"/>
        <v>0.35110290052447796</v>
      </c>
      <c r="J105" s="82">
        <f t="shared" si="38"/>
        <v>0.57075726151782491</v>
      </c>
      <c r="K105" s="82">
        <f t="shared" si="38"/>
        <v>0.67817509983648316</v>
      </c>
      <c r="L105" s="82">
        <f t="shared" si="38"/>
        <v>0.72927453916109253</v>
      </c>
      <c r="M105" s="82">
        <f t="shared" si="38"/>
        <v>0.76134913905345947</v>
      </c>
      <c r="N105" s="82">
        <f t="shared" si="38"/>
        <v>0.78230008078096014</v>
      </c>
      <c r="O105" s="82">
        <f t="shared" si="38"/>
        <v>0.78230008078096014</v>
      </c>
      <c r="P105" s="82">
        <f t="shared" si="38"/>
        <v>0.78230008078096014</v>
      </c>
      <c r="Q105" s="82">
        <f t="shared" si="38"/>
        <v>0.78230008078096014</v>
      </c>
    </row>
    <row r="106" spans="1:17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</row>
    <row r="107" spans="1:17">
      <c r="A107" s="16" t="s">
        <v>335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2"/>
      <c r="P107" s="2"/>
      <c r="Q107" s="2"/>
    </row>
    <row r="108" spans="1:17">
      <c r="A108" s="18"/>
      <c r="B108" s="77" t="s">
        <v>336</v>
      </c>
      <c r="C108" s="78">
        <v>0</v>
      </c>
      <c r="D108" s="78">
        <v>0</v>
      </c>
      <c r="E108" s="78">
        <v>0</v>
      </c>
      <c r="F108" s="78">
        <v>0</v>
      </c>
      <c r="G108" s="81">
        <f>-[1]CAPEX_Summary!$E$17/30</f>
        <v>-135.67687497215999</v>
      </c>
      <c r="H108" s="81">
        <f>-[1]CAPEX_Summary!$E$17/30</f>
        <v>-135.67687497215999</v>
      </c>
      <c r="I108" s="81">
        <f>-[1]CAPEX_Summary!$E$17/30</f>
        <v>-135.67687497215999</v>
      </c>
      <c r="J108" s="81">
        <f>-[1]CAPEX_Summary!$E$17/30</f>
        <v>-135.67687497215999</v>
      </c>
      <c r="K108" s="81">
        <f>-[1]CAPEX_Summary!$E$17/30</f>
        <v>-135.67687497215999</v>
      </c>
      <c r="L108" s="81">
        <f>-[1]CAPEX_Summary!$E$17/30</f>
        <v>-135.67687497215999</v>
      </c>
      <c r="M108" s="81">
        <f>-[1]CAPEX_Summary!$E$17/30</f>
        <v>-135.67687497215999</v>
      </c>
      <c r="N108" s="81">
        <f>-[1]CAPEX_Summary!$E$17/30</f>
        <v>-135.67687497215999</v>
      </c>
      <c r="O108" s="81">
        <f>-[1]CAPEX_Summary!$E$17/30</f>
        <v>-135.67687497215999</v>
      </c>
      <c r="P108" s="81">
        <f>-[1]CAPEX_Summary!$E$17/30</f>
        <v>-135.67687497215999</v>
      </c>
      <c r="Q108" s="81">
        <f>-[1]CAPEX_Summary!$E$17/30</f>
        <v>-135.67687497215999</v>
      </c>
    </row>
    <row r="109" spans="1:17">
      <c r="A109" s="18"/>
      <c r="B109" s="77" t="s">
        <v>337</v>
      </c>
      <c r="C109" s="81">
        <f t="shared" ref="C109:Q109" si="39">C104+C108</f>
        <v>0</v>
      </c>
      <c r="D109" s="81">
        <f t="shared" si="39"/>
        <v>0</v>
      </c>
      <c r="E109" s="81">
        <f t="shared" si="39"/>
        <v>0</v>
      </c>
      <c r="F109" s="81">
        <f t="shared" si="39"/>
        <v>-41.5</v>
      </c>
      <c r="G109" s="81">
        <f t="shared" si="39"/>
        <v>-366.80659497215993</v>
      </c>
      <c r="H109" s="81">
        <f t="shared" si="39"/>
        <v>-192.58729497215998</v>
      </c>
      <c r="I109" s="81">
        <f t="shared" si="39"/>
        <v>199.79273002783995</v>
      </c>
      <c r="J109" s="81">
        <f t="shared" si="39"/>
        <v>763.19090002784003</v>
      </c>
      <c r="K109" s="81">
        <f t="shared" si="39"/>
        <v>1425.8314650278398</v>
      </c>
      <c r="L109" s="81">
        <f t="shared" si="39"/>
        <v>1863.3288130278409</v>
      </c>
      <c r="M109" s="81">
        <f t="shared" si="39"/>
        <v>2279.1855893278407</v>
      </c>
      <c r="N109" s="81">
        <f t="shared" si="39"/>
        <v>2551.9248469478403</v>
      </c>
      <c r="O109" s="81">
        <f t="shared" si="39"/>
        <v>2551.9248469478403</v>
      </c>
      <c r="P109" s="81">
        <f t="shared" si="39"/>
        <v>2551.9248469478403</v>
      </c>
      <c r="Q109" s="81">
        <f t="shared" si="39"/>
        <v>2551.9248469478403</v>
      </c>
    </row>
    <row r="110" spans="1:17">
      <c r="A110" s="18"/>
      <c r="B110" s="77" t="s">
        <v>338</v>
      </c>
      <c r="C110" s="92">
        <v>0</v>
      </c>
      <c r="D110" s="92">
        <v>0</v>
      </c>
      <c r="E110" s="92">
        <v>0</v>
      </c>
      <c r="F110" s="92">
        <v>0</v>
      </c>
      <c r="G110" s="92">
        <v>0</v>
      </c>
      <c r="H110" s="92">
        <v>0</v>
      </c>
      <c r="I110" s="92">
        <v>0</v>
      </c>
      <c r="J110" s="92">
        <v>0</v>
      </c>
      <c r="K110" s="92">
        <v>0</v>
      </c>
      <c r="L110" s="92">
        <v>0</v>
      </c>
      <c r="M110" s="92">
        <v>0.2</v>
      </c>
      <c r="N110" s="92">
        <v>0.2</v>
      </c>
      <c r="O110" s="92">
        <v>0.2</v>
      </c>
      <c r="P110" s="92">
        <v>0.2</v>
      </c>
      <c r="Q110" s="92">
        <v>0.2</v>
      </c>
    </row>
    <row r="111" spans="1:17">
      <c r="A111" s="18"/>
      <c r="B111" s="77" t="s">
        <v>339</v>
      </c>
      <c r="C111" s="81">
        <f t="shared" ref="C111:Q111" si="40">-MAX(C109,0)*C110</f>
        <v>0</v>
      </c>
      <c r="D111" s="81">
        <f t="shared" si="40"/>
        <v>0</v>
      </c>
      <c r="E111" s="81">
        <f t="shared" si="40"/>
        <v>0</v>
      </c>
      <c r="F111" s="81">
        <f t="shared" si="40"/>
        <v>0</v>
      </c>
      <c r="G111" s="81">
        <f t="shared" si="40"/>
        <v>0</v>
      </c>
      <c r="H111" s="81">
        <f t="shared" si="40"/>
        <v>0</v>
      </c>
      <c r="I111" s="81">
        <f t="shared" si="40"/>
        <v>0</v>
      </c>
      <c r="J111" s="81">
        <f t="shared" si="40"/>
        <v>0</v>
      </c>
      <c r="K111" s="81">
        <f t="shared" si="40"/>
        <v>0</v>
      </c>
      <c r="L111" s="81">
        <f t="shared" si="40"/>
        <v>0</v>
      </c>
      <c r="M111" s="81">
        <f t="shared" si="40"/>
        <v>-455.83711786556819</v>
      </c>
      <c r="N111" s="81">
        <f t="shared" si="40"/>
        <v>-510.38496938956808</v>
      </c>
      <c r="O111" s="81">
        <f t="shared" si="40"/>
        <v>-510.38496938956808</v>
      </c>
      <c r="P111" s="81">
        <f t="shared" si="40"/>
        <v>-510.38496938956808</v>
      </c>
      <c r="Q111" s="81">
        <f t="shared" si="40"/>
        <v>-510.38496938956808</v>
      </c>
    </row>
    <row r="112" spans="1:17">
      <c r="A112" s="18"/>
      <c r="B112" s="90" t="s">
        <v>340</v>
      </c>
      <c r="C112" s="81">
        <f t="shared" ref="C112:Q112" si="41">C109+C111</f>
        <v>0</v>
      </c>
      <c r="D112" s="81">
        <f t="shared" si="41"/>
        <v>0</v>
      </c>
      <c r="E112" s="81">
        <f t="shared" si="41"/>
        <v>0</v>
      </c>
      <c r="F112" s="81">
        <f t="shared" si="41"/>
        <v>-41.5</v>
      </c>
      <c r="G112" s="81">
        <f t="shared" si="41"/>
        <v>-366.80659497215993</v>
      </c>
      <c r="H112" s="81">
        <f t="shared" si="41"/>
        <v>-192.58729497215998</v>
      </c>
      <c r="I112" s="81">
        <f t="shared" si="41"/>
        <v>199.79273002783995</v>
      </c>
      <c r="J112" s="81">
        <f t="shared" si="41"/>
        <v>763.19090002784003</v>
      </c>
      <c r="K112" s="81">
        <f t="shared" si="41"/>
        <v>1425.8314650278398</v>
      </c>
      <c r="L112" s="81">
        <f t="shared" si="41"/>
        <v>1863.3288130278409</v>
      </c>
      <c r="M112" s="81">
        <f t="shared" si="41"/>
        <v>1823.3484714622725</v>
      </c>
      <c r="N112" s="81">
        <f t="shared" si="41"/>
        <v>2041.5398775582721</v>
      </c>
      <c r="O112" s="81">
        <f t="shared" si="41"/>
        <v>2041.5398775582721</v>
      </c>
      <c r="P112" s="81">
        <f t="shared" si="41"/>
        <v>2041.5398775582721</v>
      </c>
      <c r="Q112" s="81">
        <f t="shared" si="41"/>
        <v>2041.5398775582721</v>
      </c>
    </row>
    <row r="113" spans="1:17">
      <c r="A113" s="18"/>
      <c r="B113" s="90" t="s">
        <v>341</v>
      </c>
      <c r="C113" s="81">
        <f t="shared" ref="C113:Q113" si="42">C112-C108</f>
        <v>0</v>
      </c>
      <c r="D113" s="81">
        <f t="shared" si="42"/>
        <v>0</v>
      </c>
      <c r="E113" s="81">
        <f t="shared" si="42"/>
        <v>0</v>
      </c>
      <c r="F113" s="81">
        <f t="shared" si="42"/>
        <v>-41.5</v>
      </c>
      <c r="G113" s="81">
        <f t="shared" si="42"/>
        <v>-231.12971999999993</v>
      </c>
      <c r="H113" s="81">
        <f t="shared" si="42"/>
        <v>-56.910419999999988</v>
      </c>
      <c r="I113" s="81">
        <f t="shared" si="42"/>
        <v>335.46960499999994</v>
      </c>
      <c r="J113" s="81">
        <f t="shared" si="42"/>
        <v>898.86777500000005</v>
      </c>
      <c r="K113" s="81">
        <f t="shared" si="42"/>
        <v>1561.5083399999999</v>
      </c>
      <c r="L113" s="81">
        <f t="shared" si="42"/>
        <v>1999.0056880000009</v>
      </c>
      <c r="M113" s="81">
        <f t="shared" si="42"/>
        <v>1959.0253464344325</v>
      </c>
      <c r="N113" s="81">
        <f t="shared" si="42"/>
        <v>2177.2167525304321</v>
      </c>
      <c r="O113" s="81">
        <f t="shared" si="42"/>
        <v>2177.2167525304321</v>
      </c>
      <c r="P113" s="81">
        <f t="shared" si="42"/>
        <v>2177.2167525304321</v>
      </c>
      <c r="Q113" s="81">
        <f t="shared" si="42"/>
        <v>2177.2167525304321</v>
      </c>
    </row>
    <row r="114" spans="1:17">
      <c r="A114" s="18"/>
      <c r="B114" s="22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</row>
    <row r="115" spans="1:17">
      <c r="A115" s="16" t="s">
        <v>342</v>
      </c>
      <c r="B115" s="2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2"/>
      <c r="P115" s="2"/>
      <c r="Q115" s="2"/>
    </row>
    <row r="116" spans="1:17" ht="26">
      <c r="A116" s="18"/>
      <c r="B116" s="90" t="s">
        <v>343</v>
      </c>
      <c r="C116" s="92">
        <v>0.05</v>
      </c>
      <c r="D116" s="92">
        <v>0.25</v>
      </c>
      <c r="E116" s="92">
        <v>0.4</v>
      </c>
      <c r="F116" s="92">
        <v>0.3</v>
      </c>
      <c r="G116" s="92">
        <v>0</v>
      </c>
      <c r="H116" s="92">
        <v>0</v>
      </c>
      <c r="I116" s="92">
        <v>0</v>
      </c>
      <c r="J116" s="92">
        <v>0</v>
      </c>
      <c r="K116" s="92">
        <v>0</v>
      </c>
      <c r="L116" s="92">
        <v>0</v>
      </c>
      <c r="M116" s="92">
        <v>0</v>
      </c>
      <c r="N116" s="92">
        <v>0</v>
      </c>
      <c r="O116" s="92">
        <v>0</v>
      </c>
      <c r="P116" s="92">
        <v>0</v>
      </c>
      <c r="Q116" s="92">
        <v>0</v>
      </c>
    </row>
    <row r="117" spans="1:17">
      <c r="A117" s="18"/>
      <c r="B117" s="90" t="s">
        <v>344</v>
      </c>
      <c r="C117" s="81">
        <f>-C116*[1]CAPEX_Summary!$E$17</f>
        <v>-203.51531245824</v>
      </c>
      <c r="D117" s="81">
        <f>-D116*[1]CAPEX_Summary!$E$17</f>
        <v>-1017.5765622911999</v>
      </c>
      <c r="E117" s="81">
        <f>-E116*[1]CAPEX_Summary!$E$17</f>
        <v>-1628.12249966592</v>
      </c>
      <c r="F117" s="81">
        <f>-F116*[1]CAPEX_Summary!$E$17</f>
        <v>-1221.09187474944</v>
      </c>
      <c r="G117" s="81">
        <f>-G116*[1]CAPEX_Summary!$E$17</f>
        <v>0</v>
      </c>
      <c r="H117" s="81">
        <f>-H116*[1]CAPEX_Summary!$E$17</f>
        <v>0</v>
      </c>
      <c r="I117" s="81">
        <f>-I116*[1]CAPEX_Summary!$E$17</f>
        <v>0</v>
      </c>
      <c r="J117" s="81">
        <f>-J116*[1]CAPEX_Summary!$E$17</f>
        <v>0</v>
      </c>
      <c r="K117" s="81">
        <f>-K116*[1]CAPEX_Summary!$E$17</f>
        <v>0</v>
      </c>
      <c r="L117" s="81">
        <f>-L116*[1]CAPEX_Summary!$E$17</f>
        <v>0</v>
      </c>
      <c r="M117" s="81">
        <f>-M116*[1]CAPEX_Summary!$E$17</f>
        <v>0</v>
      </c>
      <c r="N117" s="81">
        <f>-N116*[1]CAPEX_Summary!$E$17</f>
        <v>0</v>
      </c>
      <c r="O117" s="81">
        <f>-O116*[1]CAPEX_Summary!$E$17</f>
        <v>0</v>
      </c>
      <c r="P117" s="81">
        <f>-P116*[1]CAPEX_Summary!$E$17</f>
        <v>0</v>
      </c>
      <c r="Q117" s="81">
        <f>-Q116*[1]CAPEX_Summary!$E$17</f>
        <v>0</v>
      </c>
    </row>
    <row r="118" spans="1:17" ht="26">
      <c r="A118" s="18"/>
      <c r="B118" s="90" t="s">
        <v>345</v>
      </c>
      <c r="C118" s="81">
        <f>-[1]CAPEX_Summary!$E$20</f>
        <v>-200</v>
      </c>
      <c r="D118" s="81">
        <v>0</v>
      </c>
      <c r="E118" s="81">
        <v>0</v>
      </c>
      <c r="F118" s="81">
        <f>-[1]CAPEX_Summary!$E$19</f>
        <v>-503.1</v>
      </c>
      <c r="G118" s="81">
        <v>0</v>
      </c>
      <c r="H118" s="81">
        <v>0</v>
      </c>
      <c r="I118" s="81">
        <v>0</v>
      </c>
      <c r="J118" s="81">
        <v>0</v>
      </c>
      <c r="K118" s="81">
        <v>0</v>
      </c>
      <c r="L118" s="81">
        <v>0</v>
      </c>
      <c r="M118" s="81">
        <v>0</v>
      </c>
      <c r="N118" s="81">
        <v>0</v>
      </c>
      <c r="O118" s="81">
        <v>0</v>
      </c>
      <c r="P118" s="81">
        <v>0</v>
      </c>
      <c r="Q118" s="81">
        <v>0</v>
      </c>
    </row>
    <row r="119" spans="1:17">
      <c r="B119" s="77" t="s">
        <v>346</v>
      </c>
      <c r="C119" s="81">
        <f t="shared" ref="C119:Q119" si="43">C113+C117+C118+C150</f>
        <v>-403.51531245824003</v>
      </c>
      <c r="D119" s="81">
        <f t="shared" si="43"/>
        <v>-1017.5765622911999</v>
      </c>
      <c r="E119" s="81">
        <f t="shared" si="43"/>
        <v>-1628.12249966592</v>
      </c>
      <c r="F119" s="81">
        <f t="shared" si="43"/>
        <v>-1765.6918747494401</v>
      </c>
      <c r="G119" s="81">
        <f t="shared" si="43"/>
        <v>-231.12971999999993</v>
      </c>
      <c r="H119" s="81">
        <f t="shared" si="43"/>
        <v>-56.910419999999988</v>
      </c>
      <c r="I119" s="81">
        <f t="shared" si="43"/>
        <v>298.46960499999994</v>
      </c>
      <c r="J119" s="81">
        <f t="shared" si="43"/>
        <v>898.86777500000005</v>
      </c>
      <c r="K119" s="81">
        <f t="shared" si="43"/>
        <v>1561.5083399999999</v>
      </c>
      <c r="L119" s="81">
        <f t="shared" si="43"/>
        <v>1999.0056880000009</v>
      </c>
      <c r="M119" s="81">
        <f t="shared" si="43"/>
        <v>1959.0253464344325</v>
      </c>
      <c r="N119" s="81">
        <f t="shared" si="43"/>
        <v>2177.2167525304321</v>
      </c>
      <c r="O119" s="81">
        <f t="shared" si="43"/>
        <v>2177.2167525304321</v>
      </c>
      <c r="P119" s="81">
        <f t="shared" si="43"/>
        <v>2177.2167525304321</v>
      </c>
      <c r="Q119" s="81">
        <f t="shared" si="43"/>
        <v>2177.2167525304321</v>
      </c>
    </row>
    <row r="120" spans="1:17">
      <c r="B120" s="77" t="s">
        <v>347</v>
      </c>
      <c r="C120" s="81">
        <f>C119</f>
        <v>-403.51531245824003</v>
      </c>
      <c r="D120" s="81">
        <f t="shared" ref="D120:Q120" si="44">C120+D119</f>
        <v>-1421.09187474944</v>
      </c>
      <c r="E120" s="81">
        <f t="shared" si="44"/>
        <v>-3049.21437441536</v>
      </c>
      <c r="F120" s="81">
        <f t="shared" si="44"/>
        <v>-4814.9062491648001</v>
      </c>
      <c r="G120" s="81">
        <f t="shared" si="44"/>
        <v>-5046.0359691648</v>
      </c>
      <c r="H120" s="81">
        <f t="shared" si="44"/>
        <v>-5102.9463891648002</v>
      </c>
      <c r="I120" s="81">
        <f t="shared" si="44"/>
        <v>-4804.4767841647999</v>
      </c>
      <c r="J120" s="81">
        <f t="shared" si="44"/>
        <v>-3905.6090091647998</v>
      </c>
      <c r="K120" s="81">
        <f t="shared" si="44"/>
        <v>-2344.1006691647999</v>
      </c>
      <c r="L120" s="81">
        <f t="shared" si="44"/>
        <v>-345.09498116479904</v>
      </c>
      <c r="M120" s="81">
        <f t="shared" si="44"/>
        <v>1613.9303652696335</v>
      </c>
      <c r="N120" s="81">
        <f t="shared" si="44"/>
        <v>3791.1471178000656</v>
      </c>
      <c r="O120" s="81">
        <f t="shared" si="44"/>
        <v>5968.3638703304978</v>
      </c>
      <c r="P120" s="81">
        <f t="shared" si="44"/>
        <v>8145.5806228609299</v>
      </c>
      <c r="Q120" s="81">
        <f t="shared" si="44"/>
        <v>10322.797375391361</v>
      </c>
    </row>
    <row r="122" spans="1:17">
      <c r="A122" s="16" t="s">
        <v>348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>
      <c r="B123" s="77" t="s">
        <v>349</v>
      </c>
      <c r="C123" s="81">
        <f>[1]CAPEX_Summary!E22</f>
        <v>5073.4062491648001</v>
      </c>
    </row>
    <row r="124" spans="1:17">
      <c r="B124" s="77" t="s">
        <v>350</v>
      </c>
      <c r="C124" s="82">
        <f>IRR(C119:Q119)</f>
        <v>0.13963818525876026</v>
      </c>
    </row>
    <row r="125" spans="1:17">
      <c r="B125" s="77" t="s">
        <v>351</v>
      </c>
      <c r="C125" s="77" t="str">
        <f>IFERROR(INDEX($C$3:$Q$3,SUMPRODUCT(--(C120:Q120&lt;=0))+1),"beyond Year 15")</f>
        <v>ปีที่ 11 (2037)</v>
      </c>
    </row>
    <row r="126" spans="1:17">
      <c r="B126" s="77" t="s">
        <v>352</v>
      </c>
      <c r="C126" s="77" t="str">
        <f>IFERROR(INDEX($C$3:$Q$3,SUMPRODUCT(--(C104:Q104&lt;=0))+1),"n/a")</f>
        <v>ปีที่ 7 (2033)</v>
      </c>
    </row>
    <row r="127" spans="1:17">
      <c r="B127" s="77" t="s">
        <v>353</v>
      </c>
      <c r="C127" s="81">
        <f>Q38</f>
        <v>3435.5125200000002</v>
      </c>
    </row>
    <row r="128" spans="1:17">
      <c r="B128" s="77" t="s">
        <v>354</v>
      </c>
      <c r="C128" s="82">
        <f>Q105</f>
        <v>0.78230008078096014</v>
      </c>
    </row>
    <row r="129" spans="1:17">
      <c r="B129" s="77" t="s">
        <v>355</v>
      </c>
      <c r="C129" s="81">
        <f>Q45</f>
        <v>2409.6500160000001</v>
      </c>
    </row>
    <row r="130" spans="1:17">
      <c r="B130" s="77" t="s">
        <v>356</v>
      </c>
      <c r="C130" s="82">
        <f>Q46</f>
        <v>0.70139462510239958</v>
      </c>
    </row>
    <row r="132" spans="1:17">
      <c r="A132" s="16" t="s">
        <v>357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>
      <c r="C133" s="93" t="s">
        <v>358</v>
      </c>
      <c r="D133" s="93" t="s">
        <v>359</v>
      </c>
      <c r="E133" s="93" t="s">
        <v>360</v>
      </c>
      <c r="F133" s="93" t="s">
        <v>361</v>
      </c>
      <c r="G133" s="93" t="s">
        <v>362</v>
      </c>
      <c r="H133" s="93" t="s">
        <v>363</v>
      </c>
      <c r="I133" s="93" t="s">
        <v>364</v>
      </c>
      <c r="J133" s="93" t="s">
        <v>365</v>
      </c>
      <c r="K133" s="93" t="s">
        <v>366</v>
      </c>
      <c r="L133" s="93" t="s">
        <v>367</v>
      </c>
      <c r="M133" s="93" t="s">
        <v>368</v>
      </c>
      <c r="N133" s="93" t="s">
        <v>369</v>
      </c>
      <c r="O133" s="93" t="s">
        <v>370</v>
      </c>
      <c r="P133" s="93" t="s">
        <v>371</v>
      </c>
      <c r="Q133" s="93" t="s">
        <v>250</v>
      </c>
    </row>
    <row r="134" spans="1:17">
      <c r="B134" s="77" t="s">
        <v>372</v>
      </c>
      <c r="C134" s="78">
        <v>0</v>
      </c>
      <c r="D134" s="78">
        <v>0</v>
      </c>
      <c r="E134" s="78">
        <v>0</v>
      </c>
      <c r="F134" s="78">
        <v>0</v>
      </c>
      <c r="G134" s="78">
        <v>400</v>
      </c>
      <c r="H134" s="78">
        <v>900</v>
      </c>
      <c r="I134" s="78">
        <v>1400</v>
      </c>
      <c r="J134" s="78">
        <v>1800</v>
      </c>
      <c r="K134" s="78">
        <v>2000</v>
      </c>
      <c r="L134" s="78">
        <v>2000</v>
      </c>
      <c r="M134" s="78">
        <v>2000</v>
      </c>
      <c r="N134" s="78">
        <v>2000</v>
      </c>
      <c r="O134" s="78">
        <v>2000</v>
      </c>
      <c r="P134" s="78">
        <v>2000</v>
      </c>
      <c r="Q134" s="78">
        <v>2000</v>
      </c>
    </row>
    <row r="135" spans="1:17">
      <c r="B135" s="77" t="s">
        <v>373</v>
      </c>
      <c r="C135" s="78">
        <v>0</v>
      </c>
      <c r="D135" s="78">
        <v>0</v>
      </c>
      <c r="E135" s="78">
        <v>0</v>
      </c>
      <c r="F135" s="78">
        <v>0</v>
      </c>
      <c r="G135" s="78">
        <v>2500</v>
      </c>
      <c r="H135" s="78">
        <v>2500</v>
      </c>
      <c r="I135" s="78">
        <v>2500</v>
      </c>
      <c r="J135" s="78">
        <v>2500</v>
      </c>
      <c r="K135" s="78">
        <v>2500</v>
      </c>
      <c r="L135" s="78">
        <v>2500</v>
      </c>
      <c r="M135" s="78">
        <v>2500</v>
      </c>
      <c r="N135" s="78">
        <v>2500</v>
      </c>
      <c r="O135" s="78">
        <v>2500</v>
      </c>
      <c r="P135" s="78">
        <v>2500</v>
      </c>
      <c r="Q135" s="78">
        <v>2500</v>
      </c>
    </row>
    <row r="136" spans="1:17">
      <c r="B136" s="77" t="s">
        <v>374</v>
      </c>
      <c r="C136" s="91">
        <f t="shared" ref="C136:Q136" si="45">C134*C135/1000000</f>
        <v>0</v>
      </c>
      <c r="D136" s="91">
        <f t="shared" si="45"/>
        <v>0</v>
      </c>
      <c r="E136" s="91">
        <f t="shared" si="45"/>
        <v>0</v>
      </c>
      <c r="F136" s="91">
        <f t="shared" si="45"/>
        <v>0</v>
      </c>
      <c r="G136" s="91">
        <f t="shared" si="45"/>
        <v>1</v>
      </c>
      <c r="H136" s="91">
        <f t="shared" si="45"/>
        <v>2.25</v>
      </c>
      <c r="I136" s="91">
        <f t="shared" si="45"/>
        <v>3.5</v>
      </c>
      <c r="J136" s="91">
        <f t="shared" si="45"/>
        <v>4.5</v>
      </c>
      <c r="K136" s="91">
        <f t="shared" si="45"/>
        <v>5</v>
      </c>
      <c r="L136" s="91">
        <f t="shared" si="45"/>
        <v>5</v>
      </c>
      <c r="M136" s="91">
        <f t="shared" si="45"/>
        <v>5</v>
      </c>
      <c r="N136" s="91">
        <f t="shared" si="45"/>
        <v>5</v>
      </c>
      <c r="O136" s="91">
        <f t="shared" si="45"/>
        <v>5</v>
      </c>
      <c r="P136" s="91">
        <f t="shared" si="45"/>
        <v>5</v>
      </c>
      <c r="Q136" s="91">
        <f t="shared" si="45"/>
        <v>5</v>
      </c>
    </row>
    <row r="138" spans="1:17">
      <c r="B138" s="77" t="s">
        <v>375</v>
      </c>
      <c r="C138" s="78">
        <v>0</v>
      </c>
      <c r="D138" s="78">
        <v>0</v>
      </c>
      <c r="E138" s="78">
        <v>0</v>
      </c>
      <c r="F138" s="78">
        <v>0</v>
      </c>
      <c r="G138" s="78">
        <v>300</v>
      </c>
      <c r="H138" s="78">
        <v>700</v>
      </c>
      <c r="I138" s="78">
        <v>1100</v>
      </c>
      <c r="J138" s="78">
        <v>1400</v>
      </c>
      <c r="K138" s="78">
        <v>1600</v>
      </c>
      <c r="L138" s="78">
        <v>1700</v>
      </c>
      <c r="M138" s="78">
        <v>1800</v>
      </c>
      <c r="N138" s="78">
        <v>1800</v>
      </c>
      <c r="O138" s="78">
        <v>1800</v>
      </c>
      <c r="P138" s="78">
        <v>1800</v>
      </c>
      <c r="Q138" s="78">
        <v>1800</v>
      </c>
    </row>
    <row r="139" spans="1:17">
      <c r="B139" s="77" t="s">
        <v>376</v>
      </c>
      <c r="C139" s="78">
        <v>0</v>
      </c>
      <c r="D139" s="78">
        <v>0</v>
      </c>
      <c r="E139" s="78">
        <v>0</v>
      </c>
      <c r="F139" s="78">
        <v>0</v>
      </c>
      <c r="G139" s="78">
        <v>1500</v>
      </c>
      <c r="H139" s="78">
        <v>1500</v>
      </c>
      <c r="I139" s="78">
        <v>1500</v>
      </c>
      <c r="J139" s="78">
        <v>1500</v>
      </c>
      <c r="K139" s="78">
        <v>1500</v>
      </c>
      <c r="L139" s="78">
        <v>1500</v>
      </c>
      <c r="M139" s="78">
        <v>1500</v>
      </c>
      <c r="N139" s="78">
        <v>1500</v>
      </c>
      <c r="O139" s="78">
        <v>1500</v>
      </c>
      <c r="P139" s="78">
        <v>1500</v>
      </c>
      <c r="Q139" s="78">
        <v>1500</v>
      </c>
    </row>
    <row r="140" spans="1:17">
      <c r="B140" s="77" t="s">
        <v>377</v>
      </c>
      <c r="C140" s="91">
        <f t="shared" ref="C140:Q140" si="46">C138*C139/1000000</f>
        <v>0</v>
      </c>
      <c r="D140" s="91">
        <f t="shared" si="46"/>
        <v>0</v>
      </c>
      <c r="E140" s="91">
        <f t="shared" si="46"/>
        <v>0</v>
      </c>
      <c r="F140" s="91">
        <f t="shared" si="46"/>
        <v>0</v>
      </c>
      <c r="G140" s="91">
        <f t="shared" si="46"/>
        <v>0.45</v>
      </c>
      <c r="H140" s="91">
        <f t="shared" si="46"/>
        <v>1.05</v>
      </c>
      <c r="I140" s="91">
        <f t="shared" si="46"/>
        <v>1.65</v>
      </c>
      <c r="J140" s="91">
        <f t="shared" si="46"/>
        <v>2.1</v>
      </c>
      <c r="K140" s="91">
        <f t="shared" si="46"/>
        <v>2.4</v>
      </c>
      <c r="L140" s="91">
        <f t="shared" si="46"/>
        <v>2.5499999999999998</v>
      </c>
      <c r="M140" s="91">
        <f t="shared" si="46"/>
        <v>2.7</v>
      </c>
      <c r="N140" s="91">
        <f t="shared" si="46"/>
        <v>2.7</v>
      </c>
      <c r="O140" s="91">
        <f t="shared" si="46"/>
        <v>2.7</v>
      </c>
      <c r="P140" s="91">
        <f t="shared" si="46"/>
        <v>2.7</v>
      </c>
      <c r="Q140" s="91">
        <f t="shared" si="46"/>
        <v>2.7</v>
      </c>
    </row>
    <row r="142" spans="1:17">
      <c r="B142" s="77" t="s">
        <v>378</v>
      </c>
      <c r="C142" s="81">
        <f t="shared" ref="C142:Q142" si="47">ROUND(400*C6/0.88,0)</f>
        <v>0</v>
      </c>
      <c r="D142" s="81">
        <f t="shared" si="47"/>
        <v>0</v>
      </c>
      <c r="E142" s="81">
        <f t="shared" si="47"/>
        <v>0</v>
      </c>
      <c r="F142" s="81">
        <f t="shared" si="47"/>
        <v>0</v>
      </c>
      <c r="G142" s="81">
        <f t="shared" si="47"/>
        <v>136</v>
      </c>
      <c r="H142" s="81">
        <f t="shared" si="47"/>
        <v>182</v>
      </c>
      <c r="I142" s="81">
        <f t="shared" si="47"/>
        <v>250</v>
      </c>
      <c r="J142" s="81">
        <f t="shared" si="47"/>
        <v>295</v>
      </c>
      <c r="K142" s="81">
        <f t="shared" si="47"/>
        <v>341</v>
      </c>
      <c r="L142" s="81">
        <f t="shared" si="47"/>
        <v>364</v>
      </c>
      <c r="M142" s="81">
        <f t="shared" si="47"/>
        <v>386</v>
      </c>
      <c r="N142" s="81">
        <f t="shared" si="47"/>
        <v>400</v>
      </c>
      <c r="O142" s="81">
        <f t="shared" si="47"/>
        <v>400</v>
      </c>
      <c r="P142" s="81">
        <f t="shared" si="47"/>
        <v>400</v>
      </c>
      <c r="Q142" s="81">
        <f t="shared" si="47"/>
        <v>400</v>
      </c>
    </row>
    <row r="143" spans="1:17">
      <c r="B143" s="77" t="s">
        <v>379</v>
      </c>
      <c r="C143" s="78">
        <v>0</v>
      </c>
      <c r="D143" s="78">
        <v>0</v>
      </c>
      <c r="E143" s="78">
        <v>0</v>
      </c>
      <c r="F143" s="78">
        <v>0</v>
      </c>
      <c r="G143" s="78">
        <v>700</v>
      </c>
      <c r="H143" s="78">
        <v>700</v>
      </c>
      <c r="I143" s="78">
        <v>700</v>
      </c>
      <c r="J143" s="78">
        <v>700</v>
      </c>
      <c r="K143" s="78">
        <v>700</v>
      </c>
      <c r="L143" s="78">
        <v>700</v>
      </c>
      <c r="M143" s="78">
        <v>700</v>
      </c>
      <c r="N143" s="78">
        <v>700</v>
      </c>
      <c r="O143" s="78">
        <v>700</v>
      </c>
      <c r="P143" s="78">
        <v>700</v>
      </c>
      <c r="Q143" s="78">
        <v>700</v>
      </c>
    </row>
    <row r="144" spans="1:17">
      <c r="B144" s="77" t="s">
        <v>380</v>
      </c>
      <c r="C144" s="91">
        <f t="shared" ref="C144:Q144" si="48">C142*C143*12/1000000</f>
        <v>0</v>
      </c>
      <c r="D144" s="91">
        <f t="shared" si="48"/>
        <v>0</v>
      </c>
      <c r="E144" s="91">
        <f t="shared" si="48"/>
        <v>0</v>
      </c>
      <c r="F144" s="91">
        <f t="shared" si="48"/>
        <v>0</v>
      </c>
      <c r="G144" s="91">
        <f t="shared" si="48"/>
        <v>1.1424000000000001</v>
      </c>
      <c r="H144" s="91">
        <f t="shared" si="48"/>
        <v>1.5287999999999999</v>
      </c>
      <c r="I144" s="91">
        <f t="shared" si="48"/>
        <v>2.1</v>
      </c>
      <c r="J144" s="91">
        <f t="shared" si="48"/>
        <v>2.4780000000000002</v>
      </c>
      <c r="K144" s="91">
        <f t="shared" si="48"/>
        <v>2.8643999999999998</v>
      </c>
      <c r="L144" s="91">
        <f t="shared" si="48"/>
        <v>3.0575999999999999</v>
      </c>
      <c r="M144" s="91">
        <f t="shared" si="48"/>
        <v>3.2423999999999999</v>
      </c>
      <c r="N144" s="91">
        <f t="shared" si="48"/>
        <v>3.36</v>
      </c>
      <c r="O144" s="91">
        <f t="shared" si="48"/>
        <v>3.36</v>
      </c>
      <c r="P144" s="91">
        <f t="shared" si="48"/>
        <v>3.36</v>
      </c>
      <c r="Q144" s="91">
        <f t="shared" si="48"/>
        <v>3.36</v>
      </c>
    </row>
    <row r="146" spans="1:17">
      <c r="B146" s="85" t="s">
        <v>381</v>
      </c>
      <c r="C146" s="86">
        <f t="shared" ref="C146:Q146" si="49">C136+C140+C144</f>
        <v>0</v>
      </c>
      <c r="D146" s="86">
        <f t="shared" si="49"/>
        <v>0</v>
      </c>
      <c r="E146" s="86">
        <f t="shared" si="49"/>
        <v>0</v>
      </c>
      <c r="F146" s="86">
        <f t="shared" si="49"/>
        <v>0</v>
      </c>
      <c r="G146" s="86">
        <f t="shared" si="49"/>
        <v>2.5924</v>
      </c>
      <c r="H146" s="86">
        <f t="shared" si="49"/>
        <v>4.8287999999999993</v>
      </c>
      <c r="I146" s="86">
        <f t="shared" si="49"/>
        <v>7.25</v>
      </c>
      <c r="J146" s="86">
        <f t="shared" si="49"/>
        <v>9.0779999999999994</v>
      </c>
      <c r="K146" s="86">
        <f t="shared" si="49"/>
        <v>10.2644</v>
      </c>
      <c r="L146" s="86">
        <f t="shared" si="49"/>
        <v>10.6076</v>
      </c>
      <c r="M146" s="86">
        <f t="shared" si="49"/>
        <v>10.942399999999999</v>
      </c>
      <c r="N146" s="86">
        <f t="shared" si="49"/>
        <v>11.06</v>
      </c>
      <c r="O146" s="86">
        <f t="shared" si="49"/>
        <v>11.06</v>
      </c>
      <c r="P146" s="86">
        <f t="shared" si="49"/>
        <v>11.06</v>
      </c>
      <c r="Q146" s="86">
        <f t="shared" si="49"/>
        <v>11.06</v>
      </c>
    </row>
    <row r="148" spans="1:17">
      <c r="A148" s="16" t="s">
        <v>382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>
      <c r="B149" s="77" t="s">
        <v>383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37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</row>
    <row r="150" spans="1:17">
      <c r="B150" s="77" t="s">
        <v>384</v>
      </c>
      <c r="C150" s="81">
        <f t="shared" ref="C150:Q150" si="50">-C149</f>
        <v>0</v>
      </c>
      <c r="D150" s="81">
        <f t="shared" si="50"/>
        <v>0</v>
      </c>
      <c r="E150" s="81">
        <f t="shared" si="50"/>
        <v>0</v>
      </c>
      <c r="F150" s="81">
        <f t="shared" si="50"/>
        <v>0</v>
      </c>
      <c r="G150" s="81">
        <f t="shared" si="50"/>
        <v>0</v>
      </c>
      <c r="H150" s="81">
        <f t="shared" si="50"/>
        <v>0</v>
      </c>
      <c r="I150" s="81">
        <f t="shared" si="50"/>
        <v>-37</v>
      </c>
      <c r="J150" s="81">
        <f t="shared" si="50"/>
        <v>0</v>
      </c>
      <c r="K150" s="81">
        <f t="shared" si="50"/>
        <v>0</v>
      </c>
      <c r="L150" s="81">
        <f t="shared" si="50"/>
        <v>0</v>
      </c>
      <c r="M150" s="81">
        <f t="shared" si="50"/>
        <v>0</v>
      </c>
      <c r="N150" s="81">
        <f t="shared" si="50"/>
        <v>0</v>
      </c>
      <c r="O150" s="81">
        <f t="shared" si="50"/>
        <v>0</v>
      </c>
      <c r="P150" s="81">
        <f t="shared" si="50"/>
        <v>0</v>
      </c>
      <c r="Q150" s="81">
        <f t="shared" si="50"/>
        <v>0</v>
      </c>
    </row>
    <row r="151" spans="1:17">
      <c r="A151" s="16" t="s">
        <v>385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>
      <c r="B152" s="77" t="s">
        <v>386</v>
      </c>
      <c r="C152" s="79">
        <v>0</v>
      </c>
      <c r="D152" s="79">
        <v>0</v>
      </c>
      <c r="E152" s="79">
        <v>0</v>
      </c>
      <c r="F152" s="79">
        <v>0</v>
      </c>
      <c r="G152" s="79">
        <v>0.03</v>
      </c>
      <c r="H152" s="79">
        <v>3.5000000000000003E-2</v>
      </c>
      <c r="I152" s="79">
        <v>4.4999999999999998E-2</v>
      </c>
      <c r="J152" s="79">
        <v>0.05</v>
      </c>
      <c r="K152" s="79">
        <v>0.05</v>
      </c>
      <c r="L152" s="79">
        <v>0.05</v>
      </c>
      <c r="M152" s="79">
        <v>0.05</v>
      </c>
      <c r="N152" s="79">
        <v>0.05</v>
      </c>
      <c r="O152" s="79">
        <v>0.05</v>
      </c>
      <c r="P152" s="79">
        <v>0.05</v>
      </c>
      <c r="Q152" s="79">
        <v>0.05</v>
      </c>
    </row>
    <row r="153" spans="1:17">
      <c r="B153" s="77" t="s">
        <v>387</v>
      </c>
      <c r="C153" s="81">
        <f t="shared" ref="C153:Q153" si="51">-719*C152</f>
        <v>0</v>
      </c>
      <c r="D153" s="81">
        <f t="shared" si="51"/>
        <v>0</v>
      </c>
      <c r="E153" s="81">
        <f t="shared" si="51"/>
        <v>0</v>
      </c>
      <c r="F153" s="81">
        <f t="shared" si="51"/>
        <v>0</v>
      </c>
      <c r="G153" s="81">
        <f t="shared" si="51"/>
        <v>-21.57</v>
      </c>
      <c r="H153" s="81">
        <f t="shared" si="51"/>
        <v>-25.165000000000003</v>
      </c>
      <c r="I153" s="81">
        <f t="shared" si="51"/>
        <v>-32.354999999999997</v>
      </c>
      <c r="J153" s="81">
        <f t="shared" si="51"/>
        <v>-35.950000000000003</v>
      </c>
      <c r="K153" s="81">
        <f t="shared" si="51"/>
        <v>-35.950000000000003</v>
      </c>
      <c r="L153" s="81">
        <f t="shared" si="51"/>
        <v>-35.950000000000003</v>
      </c>
      <c r="M153" s="81">
        <f t="shared" si="51"/>
        <v>-35.950000000000003</v>
      </c>
      <c r="N153" s="81">
        <f t="shared" si="51"/>
        <v>-35.950000000000003</v>
      </c>
      <c r="O153" s="81">
        <f t="shared" si="51"/>
        <v>-35.950000000000003</v>
      </c>
      <c r="P153" s="81">
        <f t="shared" si="51"/>
        <v>-35.950000000000003</v>
      </c>
      <c r="Q153" s="81">
        <f t="shared" si="51"/>
        <v>-35.950000000000003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C862-BCEA-1D4F-ACA7-B12B8D3234EF}">
  <dimension ref="A1:K89"/>
  <sheetViews>
    <sheetView topLeftCell="A57" workbookViewId="0">
      <selection activeCell="N78" sqref="N78"/>
    </sheetView>
  </sheetViews>
  <sheetFormatPr baseColWidth="10" defaultRowHeight="16"/>
  <cols>
    <col min="1" max="1" width="70.1640625" bestFit="1" customWidth="1"/>
  </cols>
  <sheetData>
    <row r="1" spans="1:11">
      <c r="A1" s="103" t="s">
        <v>443</v>
      </c>
      <c r="B1" s="103" t="s">
        <v>444</v>
      </c>
      <c r="C1" s="103" t="s">
        <v>445</v>
      </c>
      <c r="D1" s="103" t="s">
        <v>446</v>
      </c>
      <c r="E1" s="103" t="s">
        <v>447</v>
      </c>
      <c r="F1" s="103" t="s">
        <v>448</v>
      </c>
      <c r="G1" s="102"/>
      <c r="H1" s="102"/>
      <c r="I1" s="102"/>
      <c r="J1" s="102"/>
      <c r="K1" s="102"/>
    </row>
    <row r="2" spans="1:11">
      <c r="A2" s="104" t="s">
        <v>449</v>
      </c>
      <c r="B2" s="105" t="s">
        <v>450</v>
      </c>
      <c r="C2" s="106">
        <v>0.18</v>
      </c>
      <c r="D2" s="107" t="s">
        <v>451</v>
      </c>
      <c r="E2" s="108">
        <v>6164</v>
      </c>
      <c r="F2" s="108">
        <v>4159</v>
      </c>
      <c r="G2" s="102"/>
      <c r="H2" s="102"/>
      <c r="I2" s="102"/>
      <c r="J2" s="102"/>
      <c r="K2" s="102"/>
    </row>
    <row r="3" spans="1:11">
      <c r="A3" s="104" t="s">
        <v>452</v>
      </c>
      <c r="B3" s="105" t="s">
        <v>453</v>
      </c>
      <c r="C3" s="109">
        <v>0.10299999999999999</v>
      </c>
      <c r="D3" s="110" t="s">
        <v>454</v>
      </c>
      <c r="E3" s="111">
        <v>5368</v>
      </c>
      <c r="F3" s="111">
        <v>3569</v>
      </c>
      <c r="G3" s="102"/>
      <c r="H3" s="102"/>
      <c r="I3" s="102"/>
      <c r="J3" s="102"/>
      <c r="K3" s="102"/>
    </row>
    <row r="4" spans="1:11">
      <c r="A4" s="104" t="s">
        <v>455</v>
      </c>
      <c r="B4" s="105" t="s">
        <v>456</v>
      </c>
      <c r="C4" s="109">
        <v>0.13300000000000001</v>
      </c>
      <c r="D4" s="110" t="s">
        <v>451</v>
      </c>
      <c r="E4" s="111">
        <v>5129</v>
      </c>
      <c r="F4" s="111">
        <v>3393</v>
      </c>
      <c r="G4" s="102"/>
      <c r="H4" s="102"/>
      <c r="I4" s="102"/>
      <c r="J4" s="102"/>
      <c r="K4" s="102"/>
    </row>
    <row r="5" spans="1:11">
      <c r="A5" s="104" t="s">
        <v>457</v>
      </c>
      <c r="B5" s="105" t="s">
        <v>458</v>
      </c>
      <c r="C5" s="109">
        <v>5.8999999999999997E-2</v>
      </c>
      <c r="D5" s="110" t="s">
        <v>459</v>
      </c>
      <c r="E5" s="111">
        <v>4453</v>
      </c>
      <c r="F5" s="111">
        <v>2892</v>
      </c>
      <c r="G5" s="102"/>
      <c r="H5" s="102"/>
      <c r="I5" s="102"/>
      <c r="J5" s="102"/>
      <c r="K5" s="102"/>
    </row>
    <row r="6" spans="1:1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</row>
    <row r="7" spans="1:11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</row>
    <row r="8" spans="1:11">
      <c r="A8" s="105" t="s">
        <v>453</v>
      </c>
      <c r="B8" s="102"/>
      <c r="C8" s="102"/>
      <c r="D8" s="102"/>
      <c r="E8" s="102"/>
    </row>
    <row r="9" spans="1:11">
      <c r="A9" s="102"/>
      <c r="B9" s="104" t="s">
        <v>460</v>
      </c>
      <c r="C9" s="104" t="s">
        <v>461</v>
      </c>
      <c r="D9" s="104" t="s">
        <v>462</v>
      </c>
      <c r="E9" s="104" t="s">
        <v>463</v>
      </c>
      <c r="F9" s="104" t="s">
        <v>464</v>
      </c>
      <c r="G9" s="104" t="s">
        <v>465</v>
      </c>
      <c r="H9" s="104" t="s">
        <v>466</v>
      </c>
      <c r="I9" s="104" t="s">
        <v>451</v>
      </c>
      <c r="J9" s="104" t="s">
        <v>454</v>
      </c>
      <c r="K9" s="104" t="s">
        <v>459</v>
      </c>
    </row>
    <row r="10" spans="1:11">
      <c r="A10" s="110" t="s">
        <v>467</v>
      </c>
      <c r="B10" s="107">
        <v>0</v>
      </c>
      <c r="C10" s="107">
        <v>0</v>
      </c>
      <c r="D10" s="107">
        <v>65</v>
      </c>
      <c r="E10" s="107">
        <v>80</v>
      </c>
      <c r="F10" s="107">
        <v>100</v>
      </c>
      <c r="G10" s="107">
        <v>120</v>
      </c>
      <c r="H10" s="107">
        <v>150</v>
      </c>
      <c r="I10" s="107">
        <v>150</v>
      </c>
      <c r="J10" s="107">
        <v>150</v>
      </c>
      <c r="K10" s="107">
        <v>150</v>
      </c>
    </row>
    <row r="11" spans="1:11">
      <c r="A11" s="110" t="s">
        <v>468</v>
      </c>
      <c r="B11" s="106">
        <v>0</v>
      </c>
      <c r="C11" s="106">
        <v>0</v>
      </c>
      <c r="D11" s="106">
        <v>0.3</v>
      </c>
      <c r="E11" s="106">
        <v>0.4</v>
      </c>
      <c r="F11" s="106">
        <v>0.55000000000000004</v>
      </c>
      <c r="G11" s="106">
        <v>0.65</v>
      </c>
      <c r="H11" s="106">
        <v>0.75</v>
      </c>
      <c r="I11" s="106">
        <v>0.8</v>
      </c>
      <c r="J11" s="106">
        <v>0.85</v>
      </c>
      <c r="K11" s="106">
        <v>0.88</v>
      </c>
    </row>
    <row r="12" spans="1:11">
      <c r="A12" s="110" t="s">
        <v>469</v>
      </c>
      <c r="B12" s="107">
        <v>0</v>
      </c>
      <c r="C12" s="107">
        <v>0</v>
      </c>
      <c r="D12" s="107">
        <v>20</v>
      </c>
      <c r="E12" s="107">
        <v>25</v>
      </c>
      <c r="F12" s="107">
        <v>30</v>
      </c>
      <c r="G12" s="107">
        <v>35</v>
      </c>
      <c r="H12" s="107">
        <v>38</v>
      </c>
      <c r="I12" s="107">
        <v>40</v>
      </c>
      <c r="J12" s="107">
        <v>42</v>
      </c>
      <c r="K12" s="107">
        <v>43</v>
      </c>
    </row>
    <row r="13" spans="1:11">
      <c r="A13" s="104" t="s">
        <v>470</v>
      </c>
      <c r="B13" s="104">
        <v>0</v>
      </c>
      <c r="C13" s="104">
        <v>0</v>
      </c>
      <c r="D13" s="104">
        <v>390</v>
      </c>
      <c r="E13" s="104">
        <v>800</v>
      </c>
      <c r="F13" s="112">
        <v>1650</v>
      </c>
      <c r="G13" s="112">
        <v>2730</v>
      </c>
      <c r="H13" s="112">
        <v>4275</v>
      </c>
      <c r="I13" s="112">
        <v>4800</v>
      </c>
      <c r="J13" s="112">
        <v>5355</v>
      </c>
      <c r="K13" s="112">
        <v>5676</v>
      </c>
    </row>
    <row r="14" spans="1:11">
      <c r="A14" s="110" t="s">
        <v>471</v>
      </c>
      <c r="B14" s="110">
        <v>0</v>
      </c>
      <c r="C14" s="110">
        <v>0</v>
      </c>
      <c r="D14" s="110">
        <v>0</v>
      </c>
      <c r="E14" s="110">
        <v>0</v>
      </c>
      <c r="F14" s="110">
        <v>0</v>
      </c>
      <c r="G14" s="110">
        <v>0</v>
      </c>
      <c r="H14" s="110">
        <v>0</v>
      </c>
      <c r="I14" s="110">
        <v>0</v>
      </c>
      <c r="J14" s="110">
        <v>0</v>
      </c>
      <c r="K14" s="110">
        <v>0</v>
      </c>
    </row>
    <row r="15" spans="1:11">
      <c r="A15" s="110" t="s">
        <v>472</v>
      </c>
      <c r="B15" s="110">
        <v>0</v>
      </c>
      <c r="C15" s="110">
        <v>0</v>
      </c>
      <c r="D15" s="110">
        <v>390</v>
      </c>
      <c r="E15" s="110">
        <v>800</v>
      </c>
      <c r="F15" s="111">
        <v>1650</v>
      </c>
      <c r="G15" s="111">
        <v>2730</v>
      </c>
      <c r="H15" s="111">
        <v>4275</v>
      </c>
      <c r="I15" s="111">
        <v>4800</v>
      </c>
      <c r="J15" s="111">
        <v>5355</v>
      </c>
      <c r="K15" s="111">
        <v>5676</v>
      </c>
    </row>
    <row r="16" spans="1:11">
      <c r="A16" s="110" t="s">
        <v>473</v>
      </c>
      <c r="B16" s="109">
        <v>0</v>
      </c>
      <c r="C16" s="109">
        <v>0</v>
      </c>
      <c r="D16" s="109">
        <v>0</v>
      </c>
      <c r="E16" s="109">
        <v>0</v>
      </c>
      <c r="F16" s="109">
        <v>0</v>
      </c>
      <c r="G16" s="109">
        <v>0.15</v>
      </c>
      <c r="H16" s="109">
        <v>0.22</v>
      </c>
      <c r="I16" s="109">
        <v>0.35</v>
      </c>
      <c r="J16" s="109">
        <v>0.5</v>
      </c>
      <c r="K16" s="109">
        <v>0.63</v>
      </c>
    </row>
    <row r="17" spans="1:11">
      <c r="A17" s="110" t="s">
        <v>474</v>
      </c>
      <c r="B17" s="109">
        <v>1</v>
      </c>
      <c r="C17" s="109">
        <v>1</v>
      </c>
      <c r="D17" s="109">
        <v>1</v>
      </c>
      <c r="E17" s="109">
        <v>1</v>
      </c>
      <c r="F17" s="109">
        <v>1</v>
      </c>
      <c r="G17" s="109">
        <v>0.85</v>
      </c>
      <c r="H17" s="109">
        <v>0.78</v>
      </c>
      <c r="I17" s="109">
        <v>0.65</v>
      </c>
      <c r="J17" s="109">
        <v>0.5</v>
      </c>
      <c r="K17" s="109">
        <v>0.37</v>
      </c>
    </row>
    <row r="18" spans="1:11">
      <c r="A18" s="110" t="s">
        <v>475</v>
      </c>
      <c r="B18" s="107">
        <v>0</v>
      </c>
      <c r="C18" s="107">
        <v>0</v>
      </c>
      <c r="D18" s="107">
        <v>900</v>
      </c>
      <c r="E18" s="107">
        <v>950</v>
      </c>
      <c r="F18" s="108">
        <v>1100</v>
      </c>
      <c r="G18" s="108">
        <v>1200</v>
      </c>
      <c r="H18" s="108">
        <v>1300</v>
      </c>
      <c r="I18" s="108">
        <v>1300</v>
      </c>
      <c r="J18" s="108">
        <v>1300</v>
      </c>
      <c r="K18" s="108">
        <v>1300</v>
      </c>
    </row>
    <row r="19" spans="1:11">
      <c r="A19" s="110" t="s">
        <v>476</v>
      </c>
      <c r="B19" s="110">
        <v>0</v>
      </c>
      <c r="C19" s="110">
        <v>0</v>
      </c>
      <c r="D19" s="110">
        <v>280</v>
      </c>
      <c r="E19" s="110">
        <v>298</v>
      </c>
      <c r="F19" s="110">
        <v>308</v>
      </c>
      <c r="G19" s="110">
        <v>320</v>
      </c>
      <c r="H19" s="110">
        <v>330</v>
      </c>
      <c r="I19" s="110">
        <v>340</v>
      </c>
      <c r="J19" s="110">
        <v>342</v>
      </c>
      <c r="K19" s="110">
        <v>343</v>
      </c>
    </row>
    <row r="20" spans="1:11">
      <c r="A20" s="104" t="s">
        <v>477</v>
      </c>
      <c r="B20" s="104">
        <v>0</v>
      </c>
      <c r="C20" s="104">
        <v>0</v>
      </c>
      <c r="D20" s="104">
        <v>109.2</v>
      </c>
      <c r="E20" s="104">
        <v>238</v>
      </c>
      <c r="F20" s="104">
        <v>507.4</v>
      </c>
      <c r="G20" s="113">
        <v>1234</v>
      </c>
      <c r="H20" s="113">
        <v>2323</v>
      </c>
      <c r="I20" s="113">
        <v>3244.8</v>
      </c>
      <c r="J20" s="113">
        <v>4395.1000000000004</v>
      </c>
      <c r="K20" s="113">
        <v>5367.9</v>
      </c>
    </row>
    <row r="21" spans="1:11">
      <c r="A21" s="110" t="s">
        <v>478</v>
      </c>
      <c r="B21" s="107">
        <v>0</v>
      </c>
      <c r="C21" s="107">
        <v>0</v>
      </c>
      <c r="D21" s="107">
        <v>-220.2</v>
      </c>
      <c r="E21" s="107">
        <v>-248.1</v>
      </c>
      <c r="F21" s="107">
        <v>-285.2</v>
      </c>
      <c r="G21" s="107">
        <v>-322.3</v>
      </c>
      <c r="H21" s="107">
        <v>-378</v>
      </c>
      <c r="I21" s="107">
        <v>-378</v>
      </c>
      <c r="J21" s="107">
        <v>-378</v>
      </c>
      <c r="K21" s="107">
        <v>-378</v>
      </c>
    </row>
    <row r="22" spans="1:11">
      <c r="A22" s="110" t="s">
        <v>479</v>
      </c>
      <c r="B22" s="110">
        <v>0</v>
      </c>
      <c r="C22" s="110">
        <v>0</v>
      </c>
      <c r="D22" s="110">
        <v>-41.5</v>
      </c>
      <c r="E22" s="110">
        <v>-83.3</v>
      </c>
      <c r="F22" s="110">
        <v>-162.4</v>
      </c>
      <c r="G22" s="110">
        <v>-370.2</v>
      </c>
      <c r="H22" s="110">
        <v>-650.4</v>
      </c>
      <c r="I22" s="110">
        <v>-876.1</v>
      </c>
      <c r="J22" s="114">
        <v>-1142.7</v>
      </c>
      <c r="K22" s="114">
        <v>-1395.7</v>
      </c>
    </row>
    <row r="23" spans="1:11">
      <c r="A23" s="110" t="s">
        <v>480</v>
      </c>
      <c r="B23" s="107">
        <v>0</v>
      </c>
      <c r="C23" s="107">
        <v>-15</v>
      </c>
      <c r="D23" s="107">
        <v>-18</v>
      </c>
      <c r="E23" s="107">
        <v>-20</v>
      </c>
      <c r="F23" s="107">
        <v>-22</v>
      </c>
      <c r="G23" s="107">
        <v>-22</v>
      </c>
      <c r="H23" s="107">
        <v>-25</v>
      </c>
      <c r="I23" s="107">
        <v>-25</v>
      </c>
      <c r="J23" s="107">
        <v>-25</v>
      </c>
      <c r="K23" s="107">
        <v>-25</v>
      </c>
    </row>
    <row r="24" spans="1:11">
      <c r="A24" s="104" t="s">
        <v>333</v>
      </c>
      <c r="B24" s="104">
        <v>0</v>
      </c>
      <c r="C24" s="104">
        <v>-15</v>
      </c>
      <c r="D24" s="104">
        <v>-170.5</v>
      </c>
      <c r="E24" s="104">
        <v>-113.4</v>
      </c>
      <c r="F24" s="104">
        <v>37.799999999999997</v>
      </c>
      <c r="G24" s="104">
        <v>519.5</v>
      </c>
      <c r="H24" s="113">
        <v>1269.5999999999999</v>
      </c>
      <c r="I24" s="113">
        <v>1965.7</v>
      </c>
      <c r="J24" s="113">
        <v>2849.4</v>
      </c>
      <c r="K24" s="113">
        <v>3569.3</v>
      </c>
    </row>
    <row r="25" spans="1:11">
      <c r="A25" s="110" t="s">
        <v>481</v>
      </c>
      <c r="B25" s="107">
        <v>-115.9</v>
      </c>
      <c r="C25" s="107">
        <v>-115.9</v>
      </c>
      <c r="D25" s="107">
        <v>-115.9</v>
      </c>
      <c r="E25" s="107">
        <v>-115.9</v>
      </c>
      <c r="F25" s="107">
        <v>-115.9</v>
      </c>
      <c r="G25" s="107">
        <v>-115.9</v>
      </c>
      <c r="H25" s="107">
        <v>-115.9</v>
      </c>
      <c r="I25" s="107">
        <v>-115.9</v>
      </c>
      <c r="J25" s="107">
        <v>-115.9</v>
      </c>
      <c r="K25" s="107">
        <v>-115.9</v>
      </c>
    </row>
    <row r="26" spans="1:11">
      <c r="A26" s="110" t="s">
        <v>482</v>
      </c>
      <c r="B26" s="110">
        <v>0</v>
      </c>
      <c r="C26" s="110">
        <v>0</v>
      </c>
      <c r="D26" s="110">
        <v>0</v>
      </c>
      <c r="E26" s="110">
        <v>0</v>
      </c>
      <c r="F26" s="110">
        <v>0</v>
      </c>
      <c r="G26" s="110">
        <v>0</v>
      </c>
      <c r="H26" s="110">
        <v>0</v>
      </c>
      <c r="I26" s="110">
        <v>0</v>
      </c>
      <c r="J26" s="110">
        <v>-546.70000000000005</v>
      </c>
      <c r="K26" s="110">
        <v>-690.7</v>
      </c>
    </row>
    <row r="27" spans="1:11">
      <c r="A27" s="110" t="s">
        <v>483</v>
      </c>
      <c r="B27" s="110">
        <v>0</v>
      </c>
      <c r="C27" s="110">
        <v>-15</v>
      </c>
      <c r="D27" s="110">
        <v>-170.5</v>
      </c>
      <c r="E27" s="110">
        <v>-113.4</v>
      </c>
      <c r="F27" s="110">
        <v>37.799999999999997</v>
      </c>
      <c r="G27" s="110">
        <v>519.5</v>
      </c>
      <c r="H27" s="114">
        <v>1269.5999999999999</v>
      </c>
      <c r="I27" s="114">
        <v>1965.7</v>
      </c>
      <c r="J27" s="114">
        <v>2302.6999999999998</v>
      </c>
      <c r="K27" s="114">
        <v>2878.6</v>
      </c>
    </row>
    <row r="28" spans="1:11">
      <c r="A28" s="110" t="s">
        <v>484</v>
      </c>
      <c r="B28" s="115">
        <v>-2789.5</v>
      </c>
      <c r="C28" s="115">
        <v>-1390.9</v>
      </c>
      <c r="D28" s="107">
        <v>0</v>
      </c>
      <c r="E28" s="107">
        <v>0</v>
      </c>
      <c r="F28" s="107">
        <v>0</v>
      </c>
      <c r="G28" s="107">
        <v>0</v>
      </c>
      <c r="H28" s="107">
        <v>0</v>
      </c>
      <c r="I28" s="107">
        <v>0</v>
      </c>
      <c r="J28" s="107">
        <v>0</v>
      </c>
      <c r="K28" s="107">
        <v>0</v>
      </c>
    </row>
    <row r="29" spans="1:11">
      <c r="A29" s="104" t="s">
        <v>485</v>
      </c>
      <c r="B29" s="113">
        <v>-2789.5</v>
      </c>
      <c r="C29" s="113">
        <v>-1405.9</v>
      </c>
      <c r="D29" s="104">
        <v>-170.5</v>
      </c>
      <c r="E29" s="104">
        <v>-113.4</v>
      </c>
      <c r="F29" s="104">
        <v>37.799999999999997</v>
      </c>
      <c r="G29" s="104">
        <v>519.5</v>
      </c>
      <c r="H29" s="113">
        <v>1269.5999999999999</v>
      </c>
      <c r="I29" s="113">
        <v>1965.7</v>
      </c>
      <c r="J29" s="113">
        <v>2302.6999999999998</v>
      </c>
      <c r="K29" s="113">
        <v>2878.6</v>
      </c>
    </row>
    <row r="30" spans="1:11">
      <c r="A30" s="104" t="s">
        <v>486</v>
      </c>
      <c r="B30" s="113">
        <v>-2789.5</v>
      </c>
      <c r="C30" s="113">
        <v>-4195.3999999999996</v>
      </c>
      <c r="D30" s="113">
        <v>-4365.8999999999996</v>
      </c>
      <c r="E30" s="113">
        <v>-4479.3</v>
      </c>
      <c r="F30" s="113">
        <v>-4441.3999999999996</v>
      </c>
      <c r="G30" s="113">
        <v>-3922</v>
      </c>
      <c r="H30" s="113">
        <v>-2652.3</v>
      </c>
      <c r="I30" s="104">
        <v>-686.6</v>
      </c>
      <c r="J30" s="113">
        <v>1616.1</v>
      </c>
      <c r="K30" s="113">
        <v>4494.7</v>
      </c>
    </row>
    <row r="31" spans="1:11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</row>
    <row r="32" spans="1:11">
      <c r="A32" s="104" t="s">
        <v>487</v>
      </c>
      <c r="B32" s="116">
        <v>0.10299999999999999</v>
      </c>
      <c r="C32" s="102"/>
      <c r="D32" s="102"/>
      <c r="E32" s="102"/>
      <c r="F32" s="102"/>
      <c r="G32" s="102"/>
      <c r="H32" s="102"/>
      <c r="I32" s="102"/>
      <c r="J32" s="102"/>
      <c r="K32" s="102"/>
    </row>
    <row r="33" spans="1:11">
      <c r="A33" s="104" t="s">
        <v>488</v>
      </c>
      <c r="B33" s="104" t="s">
        <v>454</v>
      </c>
      <c r="C33" s="102"/>
      <c r="D33" s="102"/>
      <c r="E33" s="102"/>
      <c r="F33" s="102"/>
      <c r="G33" s="102"/>
      <c r="H33" s="102"/>
      <c r="I33" s="102"/>
      <c r="J33" s="102"/>
      <c r="K33" s="102"/>
    </row>
    <row r="34" spans="1:11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</row>
    <row r="35" spans="1:11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</row>
    <row r="36" spans="1:11">
      <c r="A36" s="105" t="s">
        <v>456</v>
      </c>
      <c r="B36" s="102"/>
      <c r="C36" s="102"/>
      <c r="D36" s="102"/>
      <c r="E36" s="102"/>
    </row>
    <row r="37" spans="1:11">
      <c r="A37" s="102"/>
      <c r="B37" s="104" t="s">
        <v>460</v>
      </c>
      <c r="C37" s="104" t="s">
        <v>461</v>
      </c>
      <c r="D37" s="104" t="s">
        <v>462</v>
      </c>
      <c r="E37" s="104" t="s">
        <v>463</v>
      </c>
      <c r="F37" s="104" t="s">
        <v>464</v>
      </c>
      <c r="G37" s="104" t="s">
        <v>465</v>
      </c>
      <c r="H37" s="104" t="s">
        <v>466</v>
      </c>
      <c r="I37" s="104" t="s">
        <v>451</v>
      </c>
      <c r="J37" s="104" t="s">
        <v>454</v>
      </c>
      <c r="K37" s="104" t="s">
        <v>459</v>
      </c>
    </row>
    <row r="38" spans="1:11">
      <c r="A38" s="110" t="s">
        <v>467</v>
      </c>
      <c r="B38" s="107">
        <v>0</v>
      </c>
      <c r="C38" s="107">
        <v>0</v>
      </c>
      <c r="D38" s="107">
        <v>65</v>
      </c>
      <c r="E38" s="107">
        <v>80</v>
      </c>
      <c r="F38" s="107">
        <v>100</v>
      </c>
      <c r="G38" s="107">
        <v>120</v>
      </c>
      <c r="H38" s="107">
        <v>150</v>
      </c>
      <c r="I38" s="107">
        <v>150</v>
      </c>
      <c r="J38" s="107">
        <v>150</v>
      </c>
      <c r="K38" s="107">
        <v>150</v>
      </c>
    </row>
    <row r="39" spans="1:11">
      <c r="A39" s="110" t="s">
        <v>468</v>
      </c>
      <c r="B39" s="110">
        <v>0</v>
      </c>
      <c r="C39" s="110">
        <v>0</v>
      </c>
      <c r="D39" s="110">
        <v>0.15</v>
      </c>
      <c r="E39" s="110">
        <v>0.25</v>
      </c>
      <c r="F39" s="110">
        <v>0.4</v>
      </c>
      <c r="G39" s="110">
        <v>0.5</v>
      </c>
      <c r="H39" s="110">
        <v>0.6</v>
      </c>
      <c r="I39" s="110">
        <v>0.65</v>
      </c>
      <c r="J39" s="110">
        <v>0.7</v>
      </c>
      <c r="K39" s="110">
        <v>0.73</v>
      </c>
    </row>
    <row r="40" spans="1:11">
      <c r="A40" s="110" t="s">
        <v>469</v>
      </c>
      <c r="B40" s="107">
        <v>0</v>
      </c>
      <c r="C40" s="107">
        <v>0</v>
      </c>
      <c r="D40" s="107">
        <v>20</v>
      </c>
      <c r="E40" s="107">
        <v>25</v>
      </c>
      <c r="F40" s="107">
        <v>30</v>
      </c>
      <c r="G40" s="107">
        <v>35</v>
      </c>
      <c r="H40" s="107">
        <v>38</v>
      </c>
      <c r="I40" s="107">
        <v>40</v>
      </c>
      <c r="J40" s="107">
        <v>42</v>
      </c>
      <c r="K40" s="107">
        <v>43</v>
      </c>
    </row>
    <row r="41" spans="1:11">
      <c r="A41" s="104" t="s">
        <v>470</v>
      </c>
      <c r="B41" s="104">
        <v>0</v>
      </c>
      <c r="C41" s="104">
        <v>0</v>
      </c>
      <c r="D41" s="104">
        <v>195</v>
      </c>
      <c r="E41" s="104">
        <v>500</v>
      </c>
      <c r="F41" s="112">
        <v>1200</v>
      </c>
      <c r="G41" s="112">
        <v>2100</v>
      </c>
      <c r="H41" s="112">
        <v>3420</v>
      </c>
      <c r="I41" s="112">
        <v>3900</v>
      </c>
      <c r="J41" s="112">
        <v>4410</v>
      </c>
      <c r="K41" s="112">
        <v>4709</v>
      </c>
    </row>
    <row r="42" spans="1:11">
      <c r="A42" s="110" t="s">
        <v>471</v>
      </c>
      <c r="B42" s="110">
        <v>0</v>
      </c>
      <c r="C42" s="110">
        <v>0</v>
      </c>
      <c r="D42" s="110">
        <v>0</v>
      </c>
      <c r="E42" s="110">
        <v>0</v>
      </c>
      <c r="F42" s="110">
        <v>0</v>
      </c>
      <c r="G42" s="110">
        <v>0</v>
      </c>
      <c r="H42" s="110">
        <v>0</v>
      </c>
      <c r="I42" s="110">
        <v>0</v>
      </c>
      <c r="J42" s="110">
        <v>0</v>
      </c>
      <c r="K42" s="110">
        <v>0</v>
      </c>
    </row>
    <row r="43" spans="1:11">
      <c r="A43" s="110" t="s">
        <v>472</v>
      </c>
      <c r="B43" s="110">
        <v>0</v>
      </c>
      <c r="C43" s="110">
        <v>0</v>
      </c>
      <c r="D43" s="110">
        <v>195</v>
      </c>
      <c r="E43" s="110">
        <v>500</v>
      </c>
      <c r="F43" s="111">
        <v>1200</v>
      </c>
      <c r="G43" s="111">
        <v>2100</v>
      </c>
      <c r="H43" s="111">
        <v>3420</v>
      </c>
      <c r="I43" s="111">
        <v>3900</v>
      </c>
      <c r="J43" s="111">
        <v>4410</v>
      </c>
      <c r="K43" s="111">
        <v>4709</v>
      </c>
    </row>
    <row r="44" spans="1:11">
      <c r="A44" s="110" t="s">
        <v>473</v>
      </c>
      <c r="B44" s="106">
        <v>0</v>
      </c>
      <c r="C44" s="106">
        <v>0</v>
      </c>
      <c r="D44" s="106">
        <v>0.15</v>
      </c>
      <c r="E44" s="106">
        <v>0.22</v>
      </c>
      <c r="F44" s="106">
        <v>0.35</v>
      </c>
      <c r="G44" s="106">
        <v>0.5</v>
      </c>
      <c r="H44" s="106">
        <v>0.63</v>
      </c>
      <c r="I44" s="106">
        <v>0.7</v>
      </c>
      <c r="J44" s="106">
        <v>0.75</v>
      </c>
      <c r="K44" s="106">
        <v>0.78</v>
      </c>
    </row>
    <row r="45" spans="1:11">
      <c r="A45" s="110" t="s">
        <v>474</v>
      </c>
      <c r="B45" s="109">
        <v>1</v>
      </c>
      <c r="C45" s="109">
        <v>1</v>
      </c>
      <c r="D45" s="109">
        <v>0.85</v>
      </c>
      <c r="E45" s="109">
        <v>0.78</v>
      </c>
      <c r="F45" s="109">
        <v>0.65</v>
      </c>
      <c r="G45" s="109">
        <v>0.5</v>
      </c>
      <c r="H45" s="109">
        <v>0.37</v>
      </c>
      <c r="I45" s="109">
        <v>0.3</v>
      </c>
      <c r="J45" s="109">
        <v>0.25</v>
      </c>
      <c r="K45" s="109">
        <v>0.22</v>
      </c>
    </row>
    <row r="46" spans="1:11">
      <c r="A46" s="110" t="s">
        <v>475</v>
      </c>
      <c r="B46" s="107">
        <v>0</v>
      </c>
      <c r="C46" s="107">
        <v>0</v>
      </c>
      <c r="D46" s="107">
        <v>900</v>
      </c>
      <c r="E46" s="107">
        <v>950</v>
      </c>
      <c r="F46" s="108">
        <v>1100</v>
      </c>
      <c r="G46" s="108">
        <v>1200</v>
      </c>
      <c r="H46" s="108">
        <v>1300</v>
      </c>
      <c r="I46" s="108">
        <v>1300</v>
      </c>
      <c r="J46" s="108">
        <v>1300</v>
      </c>
      <c r="K46" s="108">
        <v>1300</v>
      </c>
    </row>
    <row r="47" spans="1:11">
      <c r="A47" s="110" t="s">
        <v>476</v>
      </c>
      <c r="B47" s="110">
        <v>0</v>
      </c>
      <c r="C47" s="110">
        <v>0</v>
      </c>
      <c r="D47" s="110">
        <v>280</v>
      </c>
      <c r="E47" s="110">
        <v>298</v>
      </c>
      <c r="F47" s="110">
        <v>308</v>
      </c>
      <c r="G47" s="110">
        <v>320</v>
      </c>
      <c r="H47" s="110">
        <v>330</v>
      </c>
      <c r="I47" s="110">
        <v>340</v>
      </c>
      <c r="J47" s="110">
        <v>342</v>
      </c>
      <c r="K47" s="110">
        <v>343</v>
      </c>
    </row>
    <row r="48" spans="1:11">
      <c r="A48" s="104" t="s">
        <v>477</v>
      </c>
      <c r="B48" s="104">
        <v>0</v>
      </c>
      <c r="C48" s="104">
        <v>0</v>
      </c>
      <c r="D48" s="104">
        <v>72.7</v>
      </c>
      <c r="E48" s="104">
        <v>220.5</v>
      </c>
      <c r="F48" s="104">
        <v>701.9</v>
      </c>
      <c r="G48" s="113">
        <v>1596</v>
      </c>
      <c r="H48" s="113">
        <v>3218.6</v>
      </c>
      <c r="I48" s="113">
        <v>3946.8</v>
      </c>
      <c r="J48" s="113">
        <v>4676.3</v>
      </c>
      <c r="K48" s="113">
        <v>5129.2</v>
      </c>
    </row>
    <row r="49" spans="1:11">
      <c r="A49" s="110" t="s">
        <v>478</v>
      </c>
      <c r="B49" s="107">
        <v>0</v>
      </c>
      <c r="C49" s="107">
        <v>0</v>
      </c>
      <c r="D49" s="107">
        <v>-220.2</v>
      </c>
      <c r="E49" s="107">
        <v>-248.1</v>
      </c>
      <c r="F49" s="107">
        <v>-285.2</v>
      </c>
      <c r="G49" s="107">
        <v>-322.3</v>
      </c>
      <c r="H49" s="107">
        <v>-378</v>
      </c>
      <c r="I49" s="107">
        <v>-378</v>
      </c>
      <c r="J49" s="107">
        <v>-378</v>
      </c>
      <c r="K49" s="107">
        <v>-378</v>
      </c>
    </row>
    <row r="50" spans="1:11">
      <c r="A50" s="110" t="s">
        <v>479</v>
      </c>
      <c r="B50" s="110">
        <v>0</v>
      </c>
      <c r="C50" s="110">
        <v>0</v>
      </c>
      <c r="D50" s="110">
        <v>-27.6</v>
      </c>
      <c r="E50" s="110">
        <v>-77.2</v>
      </c>
      <c r="F50" s="110">
        <v>-224.6</v>
      </c>
      <c r="G50" s="110">
        <v>-478.8</v>
      </c>
      <c r="H50" s="110">
        <v>-901.2</v>
      </c>
      <c r="I50" s="114">
        <v>-1065.5999999999999</v>
      </c>
      <c r="J50" s="114">
        <v>-1215.8</v>
      </c>
      <c r="K50" s="114">
        <v>-1333.6</v>
      </c>
    </row>
    <row r="51" spans="1:11">
      <c r="A51" s="110" t="s">
        <v>480</v>
      </c>
      <c r="B51" s="107">
        <v>0</v>
      </c>
      <c r="C51" s="107">
        <v>-15</v>
      </c>
      <c r="D51" s="107">
        <v>-18</v>
      </c>
      <c r="E51" s="107">
        <v>-20</v>
      </c>
      <c r="F51" s="107">
        <v>-22</v>
      </c>
      <c r="G51" s="107">
        <v>-22</v>
      </c>
      <c r="H51" s="107">
        <v>-25</v>
      </c>
      <c r="I51" s="107">
        <v>-25</v>
      </c>
      <c r="J51" s="107">
        <v>-25</v>
      </c>
      <c r="K51" s="107">
        <v>-25</v>
      </c>
    </row>
    <row r="52" spans="1:11">
      <c r="A52" s="104" t="s">
        <v>333</v>
      </c>
      <c r="B52" s="104">
        <v>0</v>
      </c>
      <c r="C52" s="104">
        <v>-15</v>
      </c>
      <c r="D52" s="104">
        <v>-193.1</v>
      </c>
      <c r="E52" s="104">
        <v>-124.7</v>
      </c>
      <c r="F52" s="104">
        <v>170.1</v>
      </c>
      <c r="G52" s="104">
        <v>772.9</v>
      </c>
      <c r="H52" s="113">
        <v>1914.4</v>
      </c>
      <c r="I52" s="113">
        <v>2478.1999999999998</v>
      </c>
      <c r="J52" s="113">
        <v>3057.5</v>
      </c>
      <c r="K52" s="113">
        <v>3392.6</v>
      </c>
    </row>
    <row r="53" spans="1:11">
      <c r="A53" s="110" t="s">
        <v>481</v>
      </c>
      <c r="B53" s="107">
        <v>-115.9</v>
      </c>
      <c r="C53" s="107">
        <v>-115.9</v>
      </c>
      <c r="D53" s="107">
        <v>-115.9</v>
      </c>
      <c r="E53" s="107">
        <v>-115.9</v>
      </c>
      <c r="F53" s="107">
        <v>-115.9</v>
      </c>
      <c r="G53" s="107">
        <v>-115.9</v>
      </c>
      <c r="H53" s="107">
        <v>-115.9</v>
      </c>
      <c r="I53" s="107">
        <v>-115.9</v>
      </c>
      <c r="J53" s="107">
        <v>-115.9</v>
      </c>
      <c r="K53" s="107">
        <v>-115.9</v>
      </c>
    </row>
    <row r="54" spans="1:11">
      <c r="A54" s="110" t="s">
        <v>482</v>
      </c>
      <c r="B54" s="110">
        <v>0</v>
      </c>
      <c r="C54" s="110">
        <v>0</v>
      </c>
      <c r="D54" s="110">
        <v>0</v>
      </c>
      <c r="E54" s="110">
        <v>0</v>
      </c>
      <c r="F54" s="110">
        <v>0</v>
      </c>
      <c r="G54" s="110">
        <v>0</v>
      </c>
      <c r="H54" s="110">
        <v>0</v>
      </c>
      <c r="I54" s="110">
        <v>0</v>
      </c>
      <c r="J54" s="110">
        <v>-588.29999999999995</v>
      </c>
      <c r="K54" s="110">
        <v>-655.29999999999995</v>
      </c>
    </row>
    <row r="55" spans="1:11">
      <c r="A55" s="110" t="s">
        <v>483</v>
      </c>
      <c r="B55" s="110">
        <v>0</v>
      </c>
      <c r="C55" s="110">
        <v>-15</v>
      </c>
      <c r="D55" s="110">
        <v>-193.1</v>
      </c>
      <c r="E55" s="110">
        <v>-124.7</v>
      </c>
      <c r="F55" s="110">
        <v>170.1</v>
      </c>
      <c r="G55" s="110">
        <v>772.9</v>
      </c>
      <c r="H55" s="114">
        <v>1914.4</v>
      </c>
      <c r="I55" s="114">
        <v>2478.1999999999998</v>
      </c>
      <c r="J55" s="114">
        <v>2469.1</v>
      </c>
      <c r="K55" s="114">
        <v>2737.3</v>
      </c>
    </row>
    <row r="56" spans="1:11">
      <c r="A56" s="110" t="s">
        <v>484</v>
      </c>
      <c r="B56" s="115">
        <v>-2789.5</v>
      </c>
      <c r="C56" s="115">
        <v>-1390.9</v>
      </c>
      <c r="D56" s="107">
        <v>0</v>
      </c>
      <c r="E56" s="107">
        <v>0</v>
      </c>
      <c r="F56" s="107">
        <v>0</v>
      </c>
      <c r="G56" s="107">
        <v>0</v>
      </c>
      <c r="H56" s="107">
        <v>0</v>
      </c>
      <c r="I56" s="107">
        <v>0</v>
      </c>
      <c r="J56" s="107">
        <v>0</v>
      </c>
      <c r="K56" s="107">
        <v>0</v>
      </c>
    </row>
    <row r="57" spans="1:11">
      <c r="A57" s="104" t="s">
        <v>485</v>
      </c>
      <c r="B57" s="113">
        <v>-2789.5</v>
      </c>
      <c r="C57" s="113">
        <v>-1405.9</v>
      </c>
      <c r="D57" s="104">
        <v>-193.1</v>
      </c>
      <c r="E57" s="104">
        <v>-124.7</v>
      </c>
      <c r="F57" s="104">
        <v>170.1</v>
      </c>
      <c r="G57" s="104">
        <v>772.9</v>
      </c>
      <c r="H57" s="113">
        <v>1914.4</v>
      </c>
      <c r="I57" s="113">
        <v>2478.1999999999998</v>
      </c>
      <c r="J57" s="113">
        <v>2469.1</v>
      </c>
      <c r="K57" s="113">
        <v>2737.3</v>
      </c>
    </row>
    <row r="58" spans="1:11">
      <c r="A58" s="104" t="s">
        <v>486</v>
      </c>
      <c r="B58" s="113">
        <v>-2789.5</v>
      </c>
      <c r="C58" s="113">
        <v>-4195.3999999999996</v>
      </c>
      <c r="D58" s="113">
        <v>-4388.5</v>
      </c>
      <c r="E58" s="113">
        <v>-4513.2</v>
      </c>
      <c r="F58" s="113">
        <v>-4343.2</v>
      </c>
      <c r="G58" s="113">
        <v>-3570.3</v>
      </c>
      <c r="H58" s="113">
        <v>-1655.9</v>
      </c>
      <c r="I58" s="104">
        <v>822.3</v>
      </c>
      <c r="J58" s="113">
        <v>3291.5</v>
      </c>
      <c r="K58" s="113">
        <v>6028.8</v>
      </c>
    </row>
    <row r="59" spans="1:1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</row>
    <row r="60" spans="1:11">
      <c r="A60" s="104" t="s">
        <v>487</v>
      </c>
      <c r="B60" s="116">
        <v>0.13300000000000001</v>
      </c>
      <c r="C60" s="102"/>
      <c r="D60" s="102"/>
      <c r="E60" s="102"/>
      <c r="F60" s="102"/>
      <c r="G60" s="102"/>
      <c r="H60" s="102"/>
      <c r="I60" s="102"/>
      <c r="J60" s="102"/>
      <c r="K60" s="102"/>
    </row>
    <row r="61" spans="1:11">
      <c r="A61" s="104" t="s">
        <v>488</v>
      </c>
      <c r="B61" s="104" t="s">
        <v>451</v>
      </c>
      <c r="C61" s="102"/>
      <c r="D61" s="102"/>
      <c r="E61" s="102"/>
      <c r="F61" s="102"/>
      <c r="G61" s="102"/>
      <c r="H61" s="102"/>
      <c r="I61" s="102"/>
      <c r="J61" s="102"/>
      <c r="K61" s="102"/>
    </row>
    <row r="62" spans="1:1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</row>
    <row r="63" spans="1:11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</row>
    <row r="64" spans="1:11">
      <c r="A64" s="105" t="s">
        <v>458</v>
      </c>
      <c r="B64" s="102"/>
      <c r="C64" s="102"/>
      <c r="D64" s="102"/>
      <c r="E64" s="102"/>
    </row>
    <row r="65" spans="1:11">
      <c r="A65" s="102"/>
      <c r="B65" s="104" t="s">
        <v>460</v>
      </c>
      <c r="C65" s="104" t="s">
        <v>461</v>
      </c>
      <c r="D65" s="104" t="s">
        <v>462</v>
      </c>
      <c r="E65" s="104" t="s">
        <v>463</v>
      </c>
      <c r="F65" s="104" t="s">
        <v>464</v>
      </c>
      <c r="G65" s="104" t="s">
        <v>465</v>
      </c>
      <c r="H65" s="104" t="s">
        <v>466</v>
      </c>
      <c r="I65" s="104" t="s">
        <v>451</v>
      </c>
      <c r="J65" s="104" t="s">
        <v>454</v>
      </c>
      <c r="K65" s="104" t="s">
        <v>459</v>
      </c>
    </row>
    <row r="66" spans="1:11">
      <c r="A66" s="110" t="s">
        <v>467</v>
      </c>
      <c r="B66" s="107">
        <v>0</v>
      </c>
      <c r="C66" s="107">
        <v>0</v>
      </c>
      <c r="D66" s="107">
        <v>65</v>
      </c>
      <c r="E66" s="107">
        <v>80</v>
      </c>
      <c r="F66" s="107">
        <v>100</v>
      </c>
      <c r="G66" s="107">
        <v>120</v>
      </c>
      <c r="H66" s="107">
        <v>150</v>
      </c>
      <c r="I66" s="107">
        <v>150</v>
      </c>
      <c r="J66" s="107">
        <v>150</v>
      </c>
      <c r="K66" s="107">
        <v>150</v>
      </c>
    </row>
    <row r="67" spans="1:11">
      <c r="A67" s="110" t="s">
        <v>468</v>
      </c>
      <c r="B67" s="110">
        <v>0</v>
      </c>
      <c r="C67" s="110">
        <v>0</v>
      </c>
      <c r="D67" s="110">
        <v>0.15</v>
      </c>
      <c r="E67" s="110">
        <v>0.25</v>
      </c>
      <c r="F67" s="110">
        <v>0.4</v>
      </c>
      <c r="G67" s="110">
        <v>0.5</v>
      </c>
      <c r="H67" s="110">
        <v>0.6</v>
      </c>
      <c r="I67" s="110">
        <v>0.65</v>
      </c>
      <c r="J67" s="110">
        <v>0.7</v>
      </c>
      <c r="K67" s="110">
        <v>0.73</v>
      </c>
    </row>
    <row r="68" spans="1:11">
      <c r="A68" s="110" t="s">
        <v>469</v>
      </c>
      <c r="B68" s="107">
        <v>0</v>
      </c>
      <c r="C68" s="107">
        <v>0</v>
      </c>
      <c r="D68" s="107">
        <v>20</v>
      </c>
      <c r="E68" s="107">
        <v>25</v>
      </c>
      <c r="F68" s="107">
        <v>30</v>
      </c>
      <c r="G68" s="107">
        <v>35</v>
      </c>
      <c r="H68" s="107">
        <v>38</v>
      </c>
      <c r="I68" s="107">
        <v>40</v>
      </c>
      <c r="J68" s="107">
        <v>42</v>
      </c>
      <c r="K68" s="107">
        <v>43</v>
      </c>
    </row>
    <row r="69" spans="1:11">
      <c r="A69" s="104" t="s">
        <v>470</v>
      </c>
      <c r="B69" s="104">
        <v>0</v>
      </c>
      <c r="C69" s="104">
        <v>0</v>
      </c>
      <c r="D69" s="104">
        <v>195</v>
      </c>
      <c r="E69" s="104">
        <v>500</v>
      </c>
      <c r="F69" s="112">
        <v>1200</v>
      </c>
      <c r="G69" s="112">
        <v>2100</v>
      </c>
      <c r="H69" s="112">
        <v>3420</v>
      </c>
      <c r="I69" s="112">
        <v>3900</v>
      </c>
      <c r="J69" s="112">
        <v>4410</v>
      </c>
      <c r="K69" s="112">
        <v>4709</v>
      </c>
    </row>
    <row r="70" spans="1:11">
      <c r="A70" s="110" t="s">
        <v>471</v>
      </c>
      <c r="B70" s="110">
        <v>0</v>
      </c>
      <c r="C70" s="110">
        <v>0</v>
      </c>
      <c r="D70" s="110">
        <v>0</v>
      </c>
      <c r="E70" s="110">
        <v>0</v>
      </c>
      <c r="F70" s="110">
        <v>0</v>
      </c>
      <c r="G70" s="110">
        <v>0</v>
      </c>
      <c r="H70" s="110">
        <v>0</v>
      </c>
      <c r="I70" s="110">
        <v>0</v>
      </c>
      <c r="J70" s="110">
        <v>0</v>
      </c>
      <c r="K70" s="110">
        <v>0</v>
      </c>
    </row>
    <row r="71" spans="1:11">
      <c r="A71" s="110" t="s">
        <v>472</v>
      </c>
      <c r="B71" s="110">
        <v>0</v>
      </c>
      <c r="C71" s="110">
        <v>0</v>
      </c>
      <c r="D71" s="110">
        <v>195</v>
      </c>
      <c r="E71" s="110">
        <v>500</v>
      </c>
      <c r="F71" s="111">
        <v>1200</v>
      </c>
      <c r="G71" s="111">
        <v>2100</v>
      </c>
      <c r="H71" s="111">
        <v>3420</v>
      </c>
      <c r="I71" s="111">
        <v>3900</v>
      </c>
      <c r="J71" s="111">
        <v>4410</v>
      </c>
      <c r="K71" s="111">
        <v>4709</v>
      </c>
    </row>
    <row r="72" spans="1:11">
      <c r="A72" s="110" t="s">
        <v>473</v>
      </c>
      <c r="B72" s="109">
        <v>0</v>
      </c>
      <c r="C72" s="109">
        <v>0</v>
      </c>
      <c r="D72" s="109">
        <v>0</v>
      </c>
      <c r="E72" s="109">
        <v>0</v>
      </c>
      <c r="F72" s="109">
        <v>0</v>
      </c>
      <c r="G72" s="109">
        <v>0.15</v>
      </c>
      <c r="H72" s="109">
        <v>0.22</v>
      </c>
      <c r="I72" s="109">
        <v>0.35</v>
      </c>
      <c r="J72" s="109">
        <v>0.5</v>
      </c>
      <c r="K72" s="109">
        <v>0.63</v>
      </c>
    </row>
    <row r="73" spans="1:11">
      <c r="A73" s="110" t="s">
        <v>474</v>
      </c>
      <c r="B73" s="109">
        <v>1</v>
      </c>
      <c r="C73" s="109">
        <v>1</v>
      </c>
      <c r="D73" s="109">
        <v>1</v>
      </c>
      <c r="E73" s="109">
        <v>1</v>
      </c>
      <c r="F73" s="109">
        <v>1</v>
      </c>
      <c r="G73" s="109">
        <v>0.85</v>
      </c>
      <c r="H73" s="109">
        <v>0.78</v>
      </c>
      <c r="I73" s="109">
        <v>0.65</v>
      </c>
      <c r="J73" s="109">
        <v>0.5</v>
      </c>
      <c r="K73" s="109">
        <v>0.37</v>
      </c>
    </row>
    <row r="74" spans="1:11">
      <c r="A74" s="110" t="s">
        <v>475</v>
      </c>
      <c r="B74" s="107">
        <v>0</v>
      </c>
      <c r="C74" s="107">
        <v>0</v>
      </c>
      <c r="D74" s="107">
        <v>900</v>
      </c>
      <c r="E74" s="107">
        <v>950</v>
      </c>
      <c r="F74" s="108">
        <v>1100</v>
      </c>
      <c r="G74" s="108">
        <v>1200</v>
      </c>
      <c r="H74" s="108">
        <v>1300</v>
      </c>
      <c r="I74" s="108">
        <v>1300</v>
      </c>
      <c r="J74" s="108">
        <v>1300</v>
      </c>
      <c r="K74" s="108">
        <v>1300</v>
      </c>
    </row>
    <row r="75" spans="1:11">
      <c r="A75" s="110" t="s">
        <v>476</v>
      </c>
      <c r="B75" s="110">
        <v>0</v>
      </c>
      <c r="C75" s="110">
        <v>0</v>
      </c>
      <c r="D75" s="110">
        <v>280</v>
      </c>
      <c r="E75" s="110">
        <v>298</v>
      </c>
      <c r="F75" s="110">
        <v>308</v>
      </c>
      <c r="G75" s="110">
        <v>320</v>
      </c>
      <c r="H75" s="110">
        <v>330</v>
      </c>
      <c r="I75" s="110">
        <v>340</v>
      </c>
      <c r="J75" s="110">
        <v>342</v>
      </c>
      <c r="K75" s="110">
        <v>343</v>
      </c>
    </row>
    <row r="76" spans="1:11">
      <c r="A76" s="104" t="s">
        <v>477</v>
      </c>
      <c r="B76" s="104">
        <v>0</v>
      </c>
      <c r="C76" s="104">
        <v>0</v>
      </c>
      <c r="D76" s="104">
        <v>54.6</v>
      </c>
      <c r="E76" s="104">
        <v>148.80000000000001</v>
      </c>
      <c r="F76" s="104">
        <v>369</v>
      </c>
      <c r="G76" s="104">
        <v>949.2</v>
      </c>
      <c r="H76" s="113">
        <v>1858.4</v>
      </c>
      <c r="I76" s="113">
        <v>2636.4</v>
      </c>
      <c r="J76" s="113">
        <v>3619.5</v>
      </c>
      <c r="K76" s="113">
        <v>4452.8999999999996</v>
      </c>
    </row>
    <row r="77" spans="1:11">
      <c r="A77" s="110" t="s">
        <v>478</v>
      </c>
      <c r="B77" s="107">
        <v>0</v>
      </c>
      <c r="C77" s="107">
        <v>0</v>
      </c>
      <c r="D77" s="107">
        <v>-220.2</v>
      </c>
      <c r="E77" s="107">
        <v>-248.1</v>
      </c>
      <c r="F77" s="107">
        <v>-285.2</v>
      </c>
      <c r="G77" s="107">
        <v>-322.3</v>
      </c>
      <c r="H77" s="107">
        <v>-378</v>
      </c>
      <c r="I77" s="107">
        <v>-378</v>
      </c>
      <c r="J77" s="107">
        <v>-378</v>
      </c>
      <c r="K77" s="107">
        <v>-378</v>
      </c>
    </row>
    <row r="78" spans="1:11">
      <c r="A78" s="110" t="s">
        <v>479</v>
      </c>
      <c r="B78" s="110">
        <v>0</v>
      </c>
      <c r="C78" s="110">
        <v>0</v>
      </c>
      <c r="D78" s="110">
        <v>-20.7</v>
      </c>
      <c r="E78" s="110">
        <v>-52.1</v>
      </c>
      <c r="F78" s="110">
        <v>-118.1</v>
      </c>
      <c r="G78" s="110">
        <v>-284.8</v>
      </c>
      <c r="H78" s="110">
        <v>-520.4</v>
      </c>
      <c r="I78" s="110">
        <v>-711.8</v>
      </c>
      <c r="J78" s="110">
        <v>-941.1</v>
      </c>
      <c r="K78" s="114">
        <v>-1157.8</v>
      </c>
    </row>
    <row r="79" spans="1:11">
      <c r="A79" s="110" t="s">
        <v>480</v>
      </c>
      <c r="B79" s="107">
        <v>0</v>
      </c>
      <c r="C79" s="107">
        <v>-15</v>
      </c>
      <c r="D79" s="107">
        <v>-18</v>
      </c>
      <c r="E79" s="107">
        <v>-20</v>
      </c>
      <c r="F79" s="107">
        <v>-22</v>
      </c>
      <c r="G79" s="107">
        <v>-22</v>
      </c>
      <c r="H79" s="107">
        <v>-25</v>
      </c>
      <c r="I79" s="107">
        <v>-25</v>
      </c>
      <c r="J79" s="107">
        <v>-25</v>
      </c>
      <c r="K79" s="107">
        <v>-25</v>
      </c>
    </row>
    <row r="80" spans="1:11">
      <c r="A80" s="104" t="s">
        <v>333</v>
      </c>
      <c r="B80" s="104">
        <v>0</v>
      </c>
      <c r="C80" s="104">
        <v>-15</v>
      </c>
      <c r="D80" s="104">
        <v>-204.4</v>
      </c>
      <c r="E80" s="104">
        <v>-171.4</v>
      </c>
      <c r="F80" s="104">
        <v>-56.3</v>
      </c>
      <c r="G80" s="104">
        <v>320.10000000000002</v>
      </c>
      <c r="H80" s="104">
        <v>935.1</v>
      </c>
      <c r="I80" s="113">
        <v>1521.6</v>
      </c>
      <c r="J80" s="113">
        <v>2275.5</v>
      </c>
      <c r="K80" s="113">
        <v>2892.2</v>
      </c>
    </row>
    <row r="81" spans="1:11">
      <c r="A81" s="110" t="s">
        <v>481</v>
      </c>
      <c r="B81" s="107">
        <v>-115.9</v>
      </c>
      <c r="C81" s="107">
        <v>-115.9</v>
      </c>
      <c r="D81" s="107">
        <v>-115.9</v>
      </c>
      <c r="E81" s="107">
        <v>-115.9</v>
      </c>
      <c r="F81" s="107">
        <v>-115.9</v>
      </c>
      <c r="G81" s="107">
        <v>-115.9</v>
      </c>
      <c r="H81" s="107">
        <v>-115.9</v>
      </c>
      <c r="I81" s="107">
        <v>-115.9</v>
      </c>
      <c r="J81" s="107">
        <v>-115.9</v>
      </c>
      <c r="K81" s="107">
        <v>-115.9</v>
      </c>
    </row>
    <row r="82" spans="1:11">
      <c r="A82" s="110" t="s">
        <v>482</v>
      </c>
      <c r="B82" s="110">
        <v>0</v>
      </c>
      <c r="C82" s="110">
        <v>0</v>
      </c>
      <c r="D82" s="110">
        <v>0</v>
      </c>
      <c r="E82" s="110">
        <v>0</v>
      </c>
      <c r="F82" s="110">
        <v>0</v>
      </c>
      <c r="G82" s="110">
        <v>0</v>
      </c>
      <c r="H82" s="110">
        <v>0</v>
      </c>
      <c r="I82" s="110">
        <v>0</v>
      </c>
      <c r="J82" s="110">
        <v>-431.9</v>
      </c>
      <c r="K82" s="110">
        <v>-555.29999999999995</v>
      </c>
    </row>
    <row r="83" spans="1:11">
      <c r="A83" s="110" t="s">
        <v>483</v>
      </c>
      <c r="B83" s="110">
        <v>0</v>
      </c>
      <c r="C83" s="110">
        <v>-15</v>
      </c>
      <c r="D83" s="110">
        <v>-204.4</v>
      </c>
      <c r="E83" s="110">
        <v>-171.4</v>
      </c>
      <c r="F83" s="110">
        <v>-56.3</v>
      </c>
      <c r="G83" s="110">
        <v>320.10000000000002</v>
      </c>
      <c r="H83" s="110">
        <v>935.1</v>
      </c>
      <c r="I83" s="114">
        <v>1521.6</v>
      </c>
      <c r="J83" s="114">
        <v>1843.6</v>
      </c>
      <c r="K83" s="114">
        <v>2337</v>
      </c>
    </row>
    <row r="84" spans="1:11">
      <c r="A84" s="110" t="s">
        <v>484</v>
      </c>
      <c r="B84" s="115">
        <v>-2789.5</v>
      </c>
      <c r="C84" s="115">
        <v>-1390.9</v>
      </c>
      <c r="D84" s="107">
        <v>0</v>
      </c>
      <c r="E84" s="107">
        <v>0</v>
      </c>
      <c r="F84" s="107">
        <v>0</v>
      </c>
      <c r="G84" s="107">
        <v>0</v>
      </c>
      <c r="H84" s="107">
        <v>0</v>
      </c>
      <c r="I84" s="107">
        <v>0</v>
      </c>
      <c r="J84" s="107">
        <v>0</v>
      </c>
      <c r="K84" s="107">
        <v>0</v>
      </c>
    </row>
    <row r="85" spans="1:11">
      <c r="A85" s="104" t="s">
        <v>485</v>
      </c>
      <c r="B85" s="113">
        <v>-2789.5</v>
      </c>
      <c r="C85" s="113">
        <v>-1405.9</v>
      </c>
      <c r="D85" s="104">
        <v>-204.4</v>
      </c>
      <c r="E85" s="104">
        <v>-171.4</v>
      </c>
      <c r="F85" s="104">
        <v>-56.3</v>
      </c>
      <c r="G85" s="104">
        <v>320.10000000000002</v>
      </c>
      <c r="H85" s="104">
        <v>935.1</v>
      </c>
      <c r="I85" s="113">
        <v>1521.6</v>
      </c>
      <c r="J85" s="113">
        <v>1843.6</v>
      </c>
      <c r="K85" s="113">
        <v>2337</v>
      </c>
    </row>
    <row r="86" spans="1:11">
      <c r="A86" s="104" t="s">
        <v>486</v>
      </c>
      <c r="B86" s="113">
        <v>-2789.5</v>
      </c>
      <c r="C86" s="113">
        <v>-4195.3999999999996</v>
      </c>
      <c r="D86" s="113">
        <v>-4399.8</v>
      </c>
      <c r="E86" s="113">
        <v>-4571.1000000000004</v>
      </c>
      <c r="F86" s="113">
        <v>-4627.3999999999996</v>
      </c>
      <c r="G86" s="113">
        <v>-4307.2</v>
      </c>
      <c r="H86" s="113">
        <v>-3372.1</v>
      </c>
      <c r="I86" s="113">
        <v>-1850.5</v>
      </c>
      <c r="J86" s="104">
        <v>-7</v>
      </c>
      <c r="K86" s="113">
        <v>2330</v>
      </c>
    </row>
    <row r="87" spans="1:1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</row>
    <row r="88" spans="1:11">
      <c r="A88" s="104" t="s">
        <v>487</v>
      </c>
      <c r="B88" s="116">
        <v>5.8999999999999997E-2</v>
      </c>
      <c r="C88" s="102"/>
      <c r="D88" s="102"/>
      <c r="E88" s="102"/>
      <c r="F88" s="102"/>
      <c r="G88" s="102"/>
      <c r="H88" s="102"/>
      <c r="I88" s="102"/>
      <c r="J88" s="102"/>
      <c r="K88" s="102"/>
    </row>
    <row r="89" spans="1:11">
      <c r="A89" s="104" t="s">
        <v>488</v>
      </c>
      <c r="B89" s="104" t="s">
        <v>459</v>
      </c>
      <c r="C89" s="102"/>
      <c r="D89" s="102"/>
      <c r="E89" s="102"/>
      <c r="F89" s="102"/>
      <c r="G89" s="102"/>
      <c r="H89" s="102"/>
      <c r="I89" s="102"/>
      <c r="J89" s="102"/>
      <c r="K89" s="10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1141-9443-1049-8C48-6E5734B3397F}">
  <dimension ref="A2:Q24"/>
  <sheetViews>
    <sheetView tabSelected="1" zoomScale="110" zoomScaleNormal="110" workbookViewId="0">
      <selection activeCell="A20" sqref="A20:XFD20"/>
    </sheetView>
  </sheetViews>
  <sheetFormatPr baseColWidth="10" defaultRowHeight="16"/>
  <cols>
    <col min="1" max="1" width="2" customWidth="1"/>
    <col min="2" max="2" width="44" customWidth="1"/>
    <col min="3" max="17" width="10.5" customWidth="1"/>
  </cols>
  <sheetData>
    <row r="2" spans="1:17" ht="18">
      <c r="B2" s="1" t="s">
        <v>388</v>
      </c>
    </row>
    <row r="4" spans="1:17">
      <c r="C4" s="93" t="s">
        <v>358</v>
      </c>
      <c r="D4" s="93" t="s">
        <v>359</v>
      </c>
      <c r="E4" s="93" t="s">
        <v>360</v>
      </c>
      <c r="F4" s="93" t="s">
        <v>361</v>
      </c>
      <c r="G4" s="93" t="s">
        <v>362</v>
      </c>
      <c r="H4" s="93" t="s">
        <v>363</v>
      </c>
      <c r="I4" s="93" t="s">
        <v>364</v>
      </c>
      <c r="J4" s="93" t="s">
        <v>365</v>
      </c>
      <c r="K4" s="93" t="s">
        <v>366</v>
      </c>
      <c r="L4" s="93" t="s">
        <v>367</v>
      </c>
      <c r="M4" s="93" t="s">
        <v>368</v>
      </c>
      <c r="N4" s="93" t="s">
        <v>369</v>
      </c>
      <c r="O4" s="93" t="s">
        <v>370</v>
      </c>
      <c r="P4" s="93" t="s">
        <v>371</v>
      </c>
      <c r="Q4" s="93" t="s">
        <v>250</v>
      </c>
    </row>
    <row r="5" spans="1:17">
      <c r="A5" s="16" t="s">
        <v>389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B6" s="77" t="s">
        <v>390</v>
      </c>
      <c r="C6" s="81">
        <f>[1]Financial_Model!$C$140+[1]Financial_Model!C129+[1]Financial_Model!C134+[1]Financial_Model!C171-[1]CAPEX_Summary!$E$20-[1]Valuation_and_Funding!C76</f>
        <v>4669.8909367065598</v>
      </c>
      <c r="D6" s="81">
        <f>C6+[1]Financial_Model!D129+[1]Financial_Model!D134+[1]Financial_Model!D171-[1]Valuation_and_Funding!D76</f>
        <v>3652.3143744153599</v>
      </c>
      <c r="E6" s="81">
        <f>D6+[1]Financial_Model!E129+[1]Financial_Model!E134+[1]Financial_Model!E171-[1]Valuation_and_Funding!E76</f>
        <v>2024.1918747494399</v>
      </c>
      <c r="F6" s="81">
        <f>E6+[1]Financial_Model!F129+[1]Financial_Model!F134+[1]Financial_Model!F171-[1]Valuation_and_Funding!F76</f>
        <v>761.59999999999991</v>
      </c>
      <c r="G6" s="81">
        <f>F6+[1]Financial_Model!G129+[1]Financial_Model!G134+[1]Financial_Model!G171-[1]Valuation_and_Funding!G76</f>
        <v>575.48631247058813</v>
      </c>
      <c r="H6" s="81">
        <f>G6+[1]Financial_Model!H129+[1]Financial_Model!H134+[1]Financial_Model!H171-[1]Valuation_and_Funding!H76</f>
        <v>481.96730494117639</v>
      </c>
      <c r="I6" s="81">
        <f>H6+[1]Financial_Model!I129+[1]Financial_Model!I134+[1]Financial_Model!I171-[1]Valuation_and_Funding!I76</f>
        <v>621.61878670588237</v>
      </c>
      <c r="J6" s="81">
        <f>I6+[1]Financial_Model!J129+[1]Financial_Model!J134+[1]Financial_Model!J171-[1]Valuation_and_Funding!J76</f>
        <v>1313.0416537647059</v>
      </c>
      <c r="K6" s="81">
        <f>J6+[1]Financial_Model!K129+[1]Financial_Model!K134+[1]Financial_Model!K171-[1]Valuation_and_Funding!K76</f>
        <v>2874.5499937647055</v>
      </c>
      <c r="L6" s="81">
        <f>K6+[1]Financial_Model!L129+[1]Financial_Model!L134+[1]Financial_Model!L171-[1]Valuation_and_Funding!L76</f>
        <v>3755.558393948002</v>
      </c>
      <c r="M6" s="81">
        <f>L6+[1]Financial_Model!M129+[1]Financial_Model!M134+[1]Financial_Model!M171-[1]Valuation_and_Funding!M76</f>
        <v>4620.5746575050707</v>
      </c>
      <c r="N6" s="81">
        <f>M6+[1]Financial_Model!N129+[1]Financial_Model!N134+[1]Financial_Model!N171-[1]Valuation_and_Funding!N76</f>
        <v>5572.8674835005395</v>
      </c>
      <c r="O6" s="81">
        <f>N6+[1]Financial_Model!O129+[1]Financial_Model!O134+[1]Financial_Model!O171-[1]Valuation_and_Funding!O76</f>
        <v>6525.1603094960083</v>
      </c>
      <c r="P6" s="81">
        <f>O6+[1]Financial_Model!P129+[1]Financial_Model!P134+[1]Financial_Model!P171-[1]Valuation_and_Funding!P76</f>
        <v>7477.453135491477</v>
      </c>
      <c r="Q6" s="81">
        <f>P6+[1]Financial_Model!Q129+[1]Financial_Model!Q134+[1]Financial_Model!Q171-[1]Valuation_and_Funding!Q76</f>
        <v>8429.7459614869458</v>
      </c>
    </row>
    <row r="7" spans="1:17">
      <c r="B7" s="77" t="s">
        <v>391</v>
      </c>
      <c r="C7" s="81">
        <f>-[1]Financial_Model!C134-[1]Financial_Model!C171</f>
        <v>203.51531245824</v>
      </c>
      <c r="D7" s="81">
        <f>C7-[1]Financial_Model!D134-[1]Financial_Model!D171</f>
        <v>1221.09187474944</v>
      </c>
      <c r="E7" s="81">
        <f>D7-[1]Financial_Model!E134-[1]Financial_Model!E171</f>
        <v>2849.21437441536</v>
      </c>
      <c r="F7" s="81">
        <f>E7-[1]Financial_Model!F134-[1]Financial_Model!F171</f>
        <v>4070.3062491647997</v>
      </c>
      <c r="G7" s="81">
        <f>F7-[1]Financial_Model!G134-[1]Financial_Model!G171</f>
        <v>4070.3062491647997</v>
      </c>
      <c r="H7" s="81">
        <f>G7-[1]Financial_Model!H134-[1]Financial_Model!H171</f>
        <v>4070.3062491647997</v>
      </c>
      <c r="I7" s="81">
        <f>H7-[1]Financial_Model!I134-[1]Financial_Model!I171</f>
        <v>4107.3062491647997</v>
      </c>
      <c r="J7" s="81">
        <f>I7-[1]Financial_Model!J134-[1]Financial_Model!J171</f>
        <v>4107.3062491647997</v>
      </c>
      <c r="K7" s="81">
        <f>J7-[1]Financial_Model!K134-[1]Financial_Model!K171</f>
        <v>4107.3062491647997</v>
      </c>
      <c r="L7" s="81">
        <f>K7-[1]Financial_Model!L134-[1]Financial_Model!L171</f>
        <v>4107.3062491647997</v>
      </c>
      <c r="M7" s="81">
        <f>L7-[1]Financial_Model!M134-[1]Financial_Model!M171</f>
        <v>4107.3062491647997</v>
      </c>
      <c r="N7" s="81">
        <f>M7-[1]Financial_Model!N134-[1]Financial_Model!N171</f>
        <v>4107.3062491647997</v>
      </c>
      <c r="O7" s="81">
        <f>N7-[1]Financial_Model!O134-[1]Financial_Model!O171</f>
        <v>4107.3062491647997</v>
      </c>
      <c r="P7" s="81">
        <f>O7-[1]Financial_Model!P134-[1]Financial_Model!P171</f>
        <v>4107.3062491647997</v>
      </c>
      <c r="Q7" s="81">
        <f>P7-[1]Financial_Model!Q134-[1]Financial_Model!Q171</f>
        <v>4107.3062491647997</v>
      </c>
    </row>
    <row r="8" spans="1:17">
      <c r="B8" s="77" t="s">
        <v>392</v>
      </c>
      <c r="C8" s="81">
        <f>[1]Financial_Model!C124</f>
        <v>0</v>
      </c>
      <c r="D8" s="81">
        <f>C8+[1]Financial_Model!D124</f>
        <v>0</v>
      </c>
      <c r="E8" s="81">
        <f>D8+[1]Financial_Model!E124</f>
        <v>0</v>
      </c>
      <c r="F8" s="81">
        <f>E8+[1]Financial_Model!F124</f>
        <v>0</v>
      </c>
      <c r="G8" s="81">
        <f>F8+[1]Financial_Model!G124</f>
        <v>-135.67687497215999</v>
      </c>
      <c r="H8" s="81">
        <f>G8+[1]Financial_Model!H124</f>
        <v>-271.35374994431999</v>
      </c>
      <c r="I8" s="81">
        <f>H8+[1]Financial_Model!I124</f>
        <v>-407.03062491647995</v>
      </c>
      <c r="J8" s="81">
        <f>I8+[1]Financial_Model!J124</f>
        <v>-542.70749988863997</v>
      </c>
      <c r="K8" s="81">
        <f>J8+[1]Financial_Model!K124</f>
        <v>-678.38437486079999</v>
      </c>
      <c r="L8" s="81">
        <f>K8+[1]Financial_Model!L124</f>
        <v>-814.06124983296002</v>
      </c>
      <c r="M8" s="81">
        <f>L8+[1]Financial_Model!M124</f>
        <v>-949.73812480512004</v>
      </c>
      <c r="N8" s="81">
        <f>M8+[1]Financial_Model!N124</f>
        <v>-1085.4149997772799</v>
      </c>
      <c r="O8" s="81">
        <f>N8+[1]Financial_Model!O124</f>
        <v>-1221.09187474944</v>
      </c>
      <c r="P8" s="81">
        <f>O8+[1]Financial_Model!P124</f>
        <v>-1356.7687497216</v>
      </c>
      <c r="Q8" s="81">
        <f>P8+[1]Financial_Model!Q124</f>
        <v>-1492.44562469376</v>
      </c>
    </row>
    <row r="9" spans="1:17">
      <c r="B9" s="77" t="s">
        <v>393</v>
      </c>
      <c r="C9" s="81">
        <f t="shared" ref="C9:Q9" si="0">C7+C8</f>
        <v>203.51531245824</v>
      </c>
      <c r="D9" s="81">
        <f t="shared" si="0"/>
        <v>1221.09187474944</v>
      </c>
      <c r="E9" s="81">
        <f t="shared" si="0"/>
        <v>2849.21437441536</v>
      </c>
      <c r="F9" s="81">
        <f t="shared" si="0"/>
        <v>4070.3062491647997</v>
      </c>
      <c r="G9" s="81">
        <f t="shared" si="0"/>
        <v>3934.6293741926397</v>
      </c>
      <c r="H9" s="81">
        <f t="shared" si="0"/>
        <v>3798.9524992204797</v>
      </c>
      <c r="I9" s="81">
        <f t="shared" si="0"/>
        <v>3700.2756242483197</v>
      </c>
      <c r="J9" s="81">
        <f t="shared" si="0"/>
        <v>3564.5987492761597</v>
      </c>
      <c r="K9" s="81">
        <f t="shared" si="0"/>
        <v>3428.9218743039996</v>
      </c>
      <c r="L9" s="81">
        <f t="shared" si="0"/>
        <v>3293.2449993318396</v>
      </c>
      <c r="M9" s="81">
        <f t="shared" si="0"/>
        <v>3157.5681243596796</v>
      </c>
      <c r="N9" s="81">
        <f t="shared" si="0"/>
        <v>3021.8912493875196</v>
      </c>
      <c r="O9" s="81">
        <f t="shared" si="0"/>
        <v>2886.21437441536</v>
      </c>
      <c r="P9" s="81">
        <f t="shared" si="0"/>
        <v>2750.5374994431995</v>
      </c>
      <c r="Q9" s="81">
        <f t="shared" si="0"/>
        <v>2614.86062447104</v>
      </c>
    </row>
    <row r="10" spans="1:17">
      <c r="B10" s="77" t="s">
        <v>394</v>
      </c>
      <c r="C10" s="81">
        <f>[1]CAPEX_Summary!$E$20</f>
        <v>200</v>
      </c>
      <c r="D10" s="81">
        <f>[1]CAPEX_Summary!$E$20</f>
        <v>200</v>
      </c>
      <c r="E10" s="81">
        <f>[1]CAPEX_Summary!$E$20</f>
        <v>200</v>
      </c>
      <c r="F10" s="81">
        <f>[1]CAPEX_Summary!$E$20</f>
        <v>200</v>
      </c>
      <c r="G10" s="81">
        <f>[1]CAPEX_Summary!$E$20</f>
        <v>200</v>
      </c>
      <c r="H10" s="81">
        <f>[1]CAPEX_Summary!$E$20</f>
        <v>200</v>
      </c>
      <c r="I10" s="81">
        <f>[1]CAPEX_Summary!$E$20</f>
        <v>200</v>
      </c>
      <c r="J10" s="81">
        <f>[1]CAPEX_Summary!$E$20</f>
        <v>200</v>
      </c>
      <c r="K10" s="81">
        <f>[1]CAPEX_Summary!$E$20</f>
        <v>200</v>
      </c>
      <c r="L10" s="81">
        <f>[1]CAPEX_Summary!$E$20</f>
        <v>200</v>
      </c>
      <c r="M10" s="81">
        <f>[1]CAPEX_Summary!$E$20</f>
        <v>200</v>
      </c>
      <c r="N10" s="81">
        <f>[1]CAPEX_Summary!$E$20</f>
        <v>200</v>
      </c>
      <c r="O10" s="81">
        <f>[1]CAPEX_Summary!$E$20</f>
        <v>200</v>
      </c>
      <c r="P10" s="81">
        <f>[1]CAPEX_Summary!$E$20</f>
        <v>200</v>
      </c>
      <c r="Q10" s="81">
        <f>[1]CAPEX_Summary!$E$20</f>
        <v>200</v>
      </c>
    </row>
    <row r="11" spans="1:17">
      <c r="B11" s="85" t="s">
        <v>395</v>
      </c>
      <c r="C11" s="88">
        <f t="shared" ref="C11:Q11" si="1">C6+C9+C10</f>
        <v>5073.4062491648001</v>
      </c>
      <c r="D11" s="88">
        <f t="shared" si="1"/>
        <v>5073.4062491648001</v>
      </c>
      <c r="E11" s="88">
        <f t="shared" si="1"/>
        <v>5073.4062491648001</v>
      </c>
      <c r="F11" s="88">
        <f t="shared" si="1"/>
        <v>5031.9062491648001</v>
      </c>
      <c r="G11" s="88">
        <f t="shared" si="1"/>
        <v>4710.1156866632282</v>
      </c>
      <c r="H11" s="88">
        <f t="shared" si="1"/>
        <v>4480.9198041616564</v>
      </c>
      <c r="I11" s="88">
        <f t="shared" si="1"/>
        <v>4521.8944109542017</v>
      </c>
      <c r="J11" s="88">
        <f t="shared" si="1"/>
        <v>5077.6404030408657</v>
      </c>
      <c r="K11" s="88">
        <f t="shared" si="1"/>
        <v>6503.4718680687056</v>
      </c>
      <c r="L11" s="88">
        <f t="shared" si="1"/>
        <v>7248.8033932798417</v>
      </c>
      <c r="M11" s="88">
        <f t="shared" si="1"/>
        <v>7978.1427818647498</v>
      </c>
      <c r="N11" s="88">
        <f t="shared" si="1"/>
        <v>8794.7587328880581</v>
      </c>
      <c r="O11" s="88">
        <f t="shared" si="1"/>
        <v>9611.3746839113683</v>
      </c>
      <c r="P11" s="88">
        <f t="shared" si="1"/>
        <v>10427.990634934677</v>
      </c>
      <c r="Q11" s="88">
        <f t="shared" si="1"/>
        <v>11244.606585957987</v>
      </c>
    </row>
    <row r="13" spans="1:17">
      <c r="A13" s="16" t="s">
        <v>396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B14" s="77" t="s">
        <v>397</v>
      </c>
      <c r="C14" s="81">
        <v>0</v>
      </c>
      <c r="D14" s="81">
        <v>0</v>
      </c>
      <c r="E14" s="81">
        <v>0</v>
      </c>
      <c r="F14" s="81">
        <v>0</v>
      </c>
      <c r="G14" s="81">
        <v>0</v>
      </c>
      <c r="H14" s="81">
        <v>0</v>
      </c>
      <c r="I14" s="81">
        <v>0</v>
      </c>
      <c r="J14" s="81">
        <v>0</v>
      </c>
      <c r="K14" s="81">
        <v>0</v>
      </c>
      <c r="L14" s="81">
        <v>0</v>
      </c>
      <c r="M14" s="81">
        <v>0</v>
      </c>
      <c r="N14" s="81">
        <v>0</v>
      </c>
      <c r="O14" s="81">
        <v>0</v>
      </c>
      <c r="P14" s="81">
        <v>0</v>
      </c>
      <c r="Q14" s="81">
        <v>0</v>
      </c>
    </row>
    <row r="15" spans="1:17">
      <c r="B15" s="85" t="s">
        <v>398</v>
      </c>
      <c r="C15" s="86">
        <f t="shared" ref="C15:Q15" si="2">C14</f>
        <v>0</v>
      </c>
      <c r="D15" s="86">
        <f t="shared" si="2"/>
        <v>0</v>
      </c>
      <c r="E15" s="86">
        <f t="shared" si="2"/>
        <v>0</v>
      </c>
      <c r="F15" s="86">
        <f t="shared" si="2"/>
        <v>0</v>
      </c>
      <c r="G15" s="86">
        <f t="shared" si="2"/>
        <v>0</v>
      </c>
      <c r="H15" s="86">
        <f t="shared" si="2"/>
        <v>0</v>
      </c>
      <c r="I15" s="86">
        <f t="shared" si="2"/>
        <v>0</v>
      </c>
      <c r="J15" s="86">
        <f t="shared" si="2"/>
        <v>0</v>
      </c>
      <c r="K15" s="86">
        <f t="shared" si="2"/>
        <v>0</v>
      </c>
      <c r="L15" s="86">
        <f t="shared" si="2"/>
        <v>0</v>
      </c>
      <c r="M15" s="86">
        <f t="shared" si="2"/>
        <v>0</v>
      </c>
      <c r="N15" s="86">
        <f t="shared" si="2"/>
        <v>0</v>
      </c>
      <c r="O15" s="86">
        <f t="shared" si="2"/>
        <v>0</v>
      </c>
      <c r="P15" s="86">
        <f t="shared" si="2"/>
        <v>0</v>
      </c>
      <c r="Q15" s="86">
        <f t="shared" si="2"/>
        <v>0</v>
      </c>
    </row>
    <row r="16" spans="1:17" ht="84">
      <c r="B16" s="19" t="s">
        <v>399</v>
      </c>
    </row>
    <row r="17" spans="1:17">
      <c r="A17" s="16" t="s">
        <v>400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B18" s="77" t="s">
        <v>401</v>
      </c>
      <c r="C18" s="81">
        <f>[1]Financial_Model!$C$140</f>
        <v>5073.4062491648001</v>
      </c>
      <c r="D18" s="81">
        <f>[1]Financial_Model!$C$140</f>
        <v>5073.4062491648001</v>
      </c>
      <c r="E18" s="81">
        <f>[1]Financial_Model!$C$140</f>
        <v>5073.4062491648001</v>
      </c>
      <c r="F18" s="81">
        <f>[1]Financial_Model!$C$140</f>
        <v>5073.4062491648001</v>
      </c>
      <c r="G18" s="81">
        <f>[1]Financial_Model!$C$140</f>
        <v>5073.4062491648001</v>
      </c>
      <c r="H18" s="81">
        <f>[1]Financial_Model!$C$140</f>
        <v>5073.4062491648001</v>
      </c>
      <c r="I18" s="81">
        <f>[1]Financial_Model!$C$140</f>
        <v>5073.4062491648001</v>
      </c>
      <c r="J18" s="81">
        <f>[1]Financial_Model!$C$140</f>
        <v>5073.4062491648001</v>
      </c>
      <c r="K18" s="81">
        <f>[1]Financial_Model!$C$140</f>
        <v>5073.4062491648001</v>
      </c>
      <c r="L18" s="81">
        <f>[1]Financial_Model!$C$140</f>
        <v>5073.4062491648001</v>
      </c>
      <c r="M18" s="81">
        <f>[1]Financial_Model!$C$140</f>
        <v>5073.4062491648001</v>
      </c>
      <c r="N18" s="81">
        <f>[1]Financial_Model!$C$140</f>
        <v>5073.4062491648001</v>
      </c>
      <c r="O18" s="81">
        <f>[1]Financial_Model!$C$140</f>
        <v>5073.4062491648001</v>
      </c>
      <c r="P18" s="81">
        <f>[1]Financial_Model!$C$140</f>
        <v>5073.4062491648001</v>
      </c>
      <c r="Q18" s="81">
        <f>[1]Financial_Model!$C$140</f>
        <v>5073.4062491648001</v>
      </c>
    </row>
    <row r="19" spans="1:17">
      <c r="B19" s="77" t="s">
        <v>402</v>
      </c>
      <c r="C19" s="81">
        <f>[1]Financial_Model!C128-[1]Valuation_and_Funding!C76</f>
        <v>0</v>
      </c>
      <c r="D19" s="81">
        <f>C19+[1]Financial_Model!D128-[1]Valuation_and_Funding!D76</f>
        <v>0</v>
      </c>
      <c r="E19" s="81">
        <f>D19+[1]Financial_Model!E128-[1]Valuation_and_Funding!E76</f>
        <v>0</v>
      </c>
      <c r="F19" s="81">
        <f>E19+[1]Financial_Model!F128-[1]Valuation_and_Funding!F76</f>
        <v>-41.5</v>
      </c>
      <c r="G19" s="81">
        <f>F19+[1]Financial_Model!G128-[1]Valuation_and_Funding!G76</f>
        <v>-363.2905625015718</v>
      </c>
      <c r="H19" s="81">
        <f>G19+[1]Financial_Model!H128-[1]Valuation_and_Funding!H76</f>
        <v>-592.48644500314356</v>
      </c>
      <c r="I19" s="81">
        <f>H19+[1]Financial_Model!I128-[1]Valuation_and_Funding!I76</f>
        <v>-551.5118382105976</v>
      </c>
      <c r="J19" s="81">
        <f>I19+[1]Financial_Model!J128-[1]Valuation_and_Funding!J76</f>
        <v>4.234153876065875</v>
      </c>
      <c r="K19" s="81">
        <f>J19+[1]Financial_Model!K128-[1]Valuation_and_Funding!K76</f>
        <v>1430.0656189039057</v>
      </c>
      <c r="L19" s="81">
        <f>K19+[1]Financial_Model!L128-[1]Valuation_and_Funding!L76</f>
        <v>2175.397144115042</v>
      </c>
      <c r="M19" s="81">
        <f>L19+[1]Financial_Model!M128-[1]Valuation_and_Funding!M76</f>
        <v>2904.7365326999507</v>
      </c>
      <c r="N19" s="81">
        <f>M19+[1]Financial_Model!N128-[1]Valuation_and_Funding!N76</f>
        <v>3721.352483723259</v>
      </c>
      <c r="O19" s="81">
        <f>N19+[1]Financial_Model!O128-[1]Valuation_and_Funding!O76</f>
        <v>4537.9684347465673</v>
      </c>
      <c r="P19" s="81">
        <f>O19+[1]Financial_Model!P128-[1]Valuation_and_Funding!P76</f>
        <v>5354.5843857698756</v>
      </c>
      <c r="Q19" s="81">
        <f>P19+[1]Financial_Model!Q128-[1]Valuation_and_Funding!Q76</f>
        <v>6171.2003367931839</v>
      </c>
    </row>
    <row r="20" spans="1:17">
      <c r="B20" s="85" t="s">
        <v>403</v>
      </c>
      <c r="C20" s="88">
        <f t="shared" ref="C20:Q20" si="3">C18+C19</f>
        <v>5073.4062491648001</v>
      </c>
      <c r="D20" s="88">
        <f t="shared" si="3"/>
        <v>5073.4062491648001</v>
      </c>
      <c r="E20" s="88">
        <f t="shared" si="3"/>
        <v>5073.4062491648001</v>
      </c>
      <c r="F20" s="88">
        <f t="shared" si="3"/>
        <v>5031.9062491648001</v>
      </c>
      <c r="G20" s="88">
        <f t="shared" si="3"/>
        <v>4710.1156866632282</v>
      </c>
      <c r="H20" s="88">
        <f t="shared" si="3"/>
        <v>4480.9198041616564</v>
      </c>
      <c r="I20" s="88">
        <f t="shared" si="3"/>
        <v>4521.8944109542026</v>
      </c>
      <c r="J20" s="88">
        <f t="shared" si="3"/>
        <v>5077.6404030408657</v>
      </c>
      <c r="K20" s="88">
        <f t="shared" si="3"/>
        <v>6503.4718680687056</v>
      </c>
      <c r="L20" s="88">
        <f t="shared" si="3"/>
        <v>7248.8033932798426</v>
      </c>
      <c r="M20" s="88">
        <f t="shared" si="3"/>
        <v>7978.1427818647508</v>
      </c>
      <c r="N20" s="88">
        <f t="shared" si="3"/>
        <v>8794.7587328880581</v>
      </c>
      <c r="O20" s="88">
        <f t="shared" si="3"/>
        <v>9611.3746839113664</v>
      </c>
      <c r="P20" s="88">
        <f t="shared" si="3"/>
        <v>10427.990634934675</v>
      </c>
      <c r="Q20" s="88">
        <f t="shared" si="3"/>
        <v>11244.606585957983</v>
      </c>
    </row>
    <row r="22" spans="1:17">
      <c r="B22" s="85" t="s">
        <v>404</v>
      </c>
      <c r="C22" s="94">
        <f t="shared" ref="C22:Q22" si="4">ROUND(C11-C15-C20,1)</f>
        <v>0</v>
      </c>
      <c r="D22" s="94">
        <f t="shared" si="4"/>
        <v>0</v>
      </c>
      <c r="E22" s="94">
        <f t="shared" si="4"/>
        <v>0</v>
      </c>
      <c r="F22" s="94">
        <f t="shared" si="4"/>
        <v>0</v>
      </c>
      <c r="G22" s="94">
        <f t="shared" si="4"/>
        <v>0</v>
      </c>
      <c r="H22" s="94">
        <f t="shared" si="4"/>
        <v>0</v>
      </c>
      <c r="I22" s="94">
        <f t="shared" si="4"/>
        <v>0</v>
      </c>
      <c r="J22" s="94">
        <f t="shared" si="4"/>
        <v>0</v>
      </c>
      <c r="K22" s="94">
        <f t="shared" si="4"/>
        <v>0</v>
      </c>
      <c r="L22" s="94">
        <f t="shared" si="4"/>
        <v>0</v>
      </c>
      <c r="M22" s="94">
        <f t="shared" si="4"/>
        <v>0</v>
      </c>
      <c r="N22" s="94">
        <f t="shared" si="4"/>
        <v>0</v>
      </c>
      <c r="O22" s="94">
        <f t="shared" si="4"/>
        <v>0</v>
      </c>
      <c r="P22" s="94">
        <f t="shared" si="4"/>
        <v>0</v>
      </c>
      <c r="Q22" s="94">
        <f t="shared" si="4"/>
        <v>0</v>
      </c>
    </row>
    <row r="24" spans="1:17" ht="36">
      <c r="B24" s="19" t="s">
        <v>405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2EDC-8C48-8746-8E4E-0DC5A480CD19}">
  <dimension ref="A1:F42"/>
  <sheetViews>
    <sheetView zoomScale="140" zoomScaleNormal="140" workbookViewId="0">
      <selection activeCell="F6" sqref="F6"/>
    </sheetView>
  </sheetViews>
  <sheetFormatPr baseColWidth="10" defaultRowHeight="16"/>
  <cols>
    <col min="1" max="1" width="2" customWidth="1"/>
    <col min="2" max="2" width="47.33203125" customWidth="1"/>
    <col min="3" max="3" width="52" customWidth="1"/>
    <col min="4" max="4" width="16.6640625" bestFit="1" customWidth="1"/>
    <col min="5" max="5" width="2" customWidth="1"/>
    <col min="6" max="6" width="60" customWidth="1"/>
  </cols>
  <sheetData>
    <row r="1" spans="1:6">
      <c r="A1" s="18"/>
      <c r="B1" s="18"/>
      <c r="C1" s="18"/>
      <c r="D1" s="18"/>
    </row>
    <row r="2" spans="1:6" ht="18">
      <c r="A2" s="18"/>
      <c r="B2" s="1" t="s">
        <v>115</v>
      </c>
      <c r="C2" s="18"/>
      <c r="D2" s="18"/>
    </row>
    <row r="3" spans="1:6">
      <c r="A3" s="18"/>
      <c r="B3" s="18"/>
      <c r="C3" s="18"/>
      <c r="D3" s="18"/>
      <c r="E3" s="27"/>
      <c r="F3" s="27"/>
    </row>
    <row r="4" spans="1:6">
      <c r="B4" s="16" t="s">
        <v>116</v>
      </c>
      <c r="C4" s="16"/>
      <c r="D4" s="17"/>
      <c r="E4" s="27"/>
      <c r="F4" s="27"/>
    </row>
    <row r="5" spans="1:6">
      <c r="A5" s="18"/>
      <c r="B5" s="6" t="s">
        <v>117</v>
      </c>
      <c r="C5" s="6" t="s">
        <v>118</v>
      </c>
      <c r="D5" s="6" t="s">
        <v>119</v>
      </c>
      <c r="E5" s="27"/>
      <c r="F5" s="27"/>
    </row>
    <row r="6" spans="1:6" ht="28">
      <c r="A6" s="18"/>
      <c r="B6" s="5" t="s">
        <v>120</v>
      </c>
      <c r="C6" s="3" t="s">
        <v>121</v>
      </c>
      <c r="D6" s="10">
        <v>2700</v>
      </c>
      <c r="E6" s="27"/>
      <c r="F6" s="27"/>
    </row>
    <row r="7" spans="1:6" ht="42">
      <c r="A7" s="18"/>
      <c r="B7" s="5" t="s">
        <v>122</v>
      </c>
      <c r="C7" s="3" t="s">
        <v>123</v>
      </c>
      <c r="D7" s="10">
        <v>3100</v>
      </c>
      <c r="E7" s="27"/>
      <c r="F7" s="27"/>
    </row>
    <row r="8" spans="1:6" ht="28">
      <c r="A8" s="18"/>
      <c r="B8" s="5" t="s">
        <v>124</v>
      </c>
      <c r="C8" s="3" t="s">
        <v>125</v>
      </c>
      <c r="D8" s="10">
        <v>2700</v>
      </c>
      <c r="E8" s="27"/>
      <c r="F8" s="27"/>
    </row>
    <row r="9" spans="1:6" ht="28">
      <c r="A9" s="18"/>
      <c r="B9" s="5" t="s">
        <v>126</v>
      </c>
      <c r="C9" s="3" t="s">
        <v>127</v>
      </c>
      <c r="D9" s="10">
        <v>2500</v>
      </c>
      <c r="E9" s="27"/>
      <c r="F9" s="27"/>
    </row>
    <row r="10" spans="1:6">
      <c r="A10" s="18"/>
      <c r="B10" s="5" t="s">
        <v>128</v>
      </c>
      <c r="C10" s="3" t="s">
        <v>129</v>
      </c>
      <c r="D10" s="10">
        <v>2000</v>
      </c>
      <c r="E10" s="27"/>
      <c r="F10" s="27"/>
    </row>
    <row r="11" spans="1:6">
      <c r="A11" s="18"/>
      <c r="B11" s="5" t="s">
        <v>130</v>
      </c>
      <c r="C11" s="3" t="s">
        <v>131</v>
      </c>
      <c r="D11" s="10">
        <v>2200</v>
      </c>
      <c r="E11" s="27"/>
      <c r="F11" s="27"/>
    </row>
    <row r="12" spans="1:6">
      <c r="A12" s="18"/>
      <c r="B12" s="5" t="s">
        <v>132</v>
      </c>
      <c r="C12" s="3" t="s">
        <v>133</v>
      </c>
      <c r="D12" s="10">
        <v>2200</v>
      </c>
      <c r="E12" s="27"/>
      <c r="F12" s="27"/>
    </row>
    <row r="13" spans="1:6">
      <c r="A13" s="18"/>
      <c r="B13" s="5" t="s">
        <v>134</v>
      </c>
      <c r="C13" s="3" t="s">
        <v>135</v>
      </c>
      <c r="D13" s="10">
        <v>2300</v>
      </c>
      <c r="E13" s="27"/>
      <c r="F13" s="27"/>
    </row>
    <row r="14" spans="1:6">
      <c r="A14" s="18"/>
      <c r="B14" s="5" t="s">
        <v>136</v>
      </c>
      <c r="C14" s="3" t="s">
        <v>137</v>
      </c>
      <c r="D14" s="10">
        <v>1700</v>
      </c>
      <c r="E14" s="27"/>
      <c r="F14" s="27"/>
    </row>
    <row r="15" spans="1:6">
      <c r="A15" s="18"/>
      <c r="B15" s="4" t="s">
        <v>0</v>
      </c>
      <c r="C15" s="18"/>
      <c r="D15" s="13">
        <v>21400</v>
      </c>
      <c r="E15" s="27"/>
      <c r="F15" s="27"/>
    </row>
    <row r="16" spans="1:6">
      <c r="A16" s="18"/>
      <c r="B16" s="18"/>
      <c r="C16" s="18"/>
      <c r="D16" s="18"/>
      <c r="E16" s="27"/>
      <c r="F16" s="27"/>
    </row>
    <row r="17" spans="1:6">
      <c r="B17" s="16" t="s">
        <v>138</v>
      </c>
      <c r="C17" s="16"/>
      <c r="D17" s="16"/>
      <c r="E17" s="27"/>
      <c r="F17" s="27"/>
    </row>
    <row r="18" spans="1:6">
      <c r="A18" s="18"/>
      <c r="B18" s="6" t="s">
        <v>117</v>
      </c>
      <c r="C18" s="6" t="s">
        <v>118</v>
      </c>
      <c r="D18" s="6" t="s">
        <v>119</v>
      </c>
      <c r="E18" s="27"/>
      <c r="F18" s="27"/>
    </row>
    <row r="19" spans="1:6" ht="28">
      <c r="A19" s="18"/>
      <c r="B19" s="5" t="s">
        <v>122</v>
      </c>
      <c r="C19" s="3" t="s">
        <v>139</v>
      </c>
      <c r="D19" s="10">
        <v>1550</v>
      </c>
      <c r="E19" s="27"/>
      <c r="F19" s="27"/>
    </row>
    <row r="20" spans="1:6">
      <c r="A20" s="18"/>
      <c r="B20" s="5" t="s">
        <v>124</v>
      </c>
      <c r="C20" s="3" t="s">
        <v>140</v>
      </c>
      <c r="D20" s="10">
        <v>1750</v>
      </c>
      <c r="E20" s="27"/>
      <c r="F20" s="27"/>
    </row>
    <row r="21" spans="1:6" ht="28">
      <c r="A21" s="18"/>
      <c r="B21" s="5" t="s">
        <v>126</v>
      </c>
      <c r="C21" s="3" t="s">
        <v>141</v>
      </c>
      <c r="D21" s="10">
        <v>1350</v>
      </c>
      <c r="E21" s="27"/>
      <c r="F21" s="27"/>
    </row>
    <row r="22" spans="1:6">
      <c r="A22" s="18"/>
      <c r="B22" s="5" t="s">
        <v>128</v>
      </c>
      <c r="C22" s="3" t="s">
        <v>142</v>
      </c>
      <c r="D22" s="10">
        <v>1350</v>
      </c>
      <c r="E22" s="27"/>
      <c r="F22" s="27"/>
    </row>
    <row r="23" spans="1:6" ht="28">
      <c r="A23" s="18"/>
      <c r="B23" s="5" t="s">
        <v>130</v>
      </c>
      <c r="C23" s="3" t="s">
        <v>143</v>
      </c>
      <c r="D23" s="10">
        <v>1550</v>
      </c>
      <c r="E23" s="27"/>
      <c r="F23" s="27"/>
    </row>
    <row r="24" spans="1:6">
      <c r="A24" s="18"/>
      <c r="B24" s="5" t="s">
        <v>132</v>
      </c>
      <c r="C24" s="3" t="s">
        <v>144</v>
      </c>
      <c r="D24" s="10">
        <v>1350</v>
      </c>
      <c r="E24" s="27"/>
      <c r="F24" s="27"/>
    </row>
    <row r="25" spans="1:6">
      <c r="A25" s="18"/>
      <c r="B25" s="4" t="s">
        <v>0</v>
      </c>
      <c r="C25" s="18"/>
      <c r="D25" s="13">
        <v>8900</v>
      </c>
      <c r="E25" s="27"/>
      <c r="F25" s="27"/>
    </row>
    <row r="26" spans="1:6">
      <c r="A26" s="18"/>
      <c r="B26" s="18"/>
      <c r="C26" s="18"/>
      <c r="D26" s="18"/>
      <c r="E26" s="27"/>
      <c r="F26" s="27"/>
    </row>
    <row r="27" spans="1:6">
      <c r="A27" s="16" t="s">
        <v>145</v>
      </c>
      <c r="B27" s="16"/>
      <c r="C27" s="16"/>
      <c r="D27" s="17"/>
      <c r="E27" s="27"/>
      <c r="F27" s="27"/>
    </row>
    <row r="28" spans="1:6" ht="126">
      <c r="A28" s="18"/>
      <c r="B28" s="3" t="s">
        <v>146</v>
      </c>
      <c r="C28" s="18"/>
      <c r="D28" s="18"/>
      <c r="E28" s="27"/>
      <c r="F28" s="27"/>
    </row>
    <row r="29" spans="1:6">
      <c r="A29" s="18"/>
      <c r="B29" s="18"/>
      <c r="C29" s="18"/>
      <c r="D29" s="18"/>
      <c r="E29" s="27"/>
      <c r="F29" s="27"/>
    </row>
    <row r="30" spans="1:6">
      <c r="A30" s="16" t="s">
        <v>147</v>
      </c>
      <c r="B30" s="16"/>
      <c r="C30" s="16"/>
      <c r="D30" s="17"/>
      <c r="E30" s="27"/>
      <c r="F30" s="27"/>
    </row>
    <row r="31" spans="1:6">
      <c r="A31" s="18"/>
      <c r="B31" s="5" t="s">
        <v>148</v>
      </c>
      <c r="C31" s="5"/>
      <c r="D31" s="10">
        <v>15</v>
      </c>
      <c r="E31" s="27"/>
      <c r="F31" s="27"/>
    </row>
    <row r="32" spans="1:6">
      <c r="A32" s="18"/>
      <c r="B32" s="5" t="s">
        <v>149</v>
      </c>
      <c r="C32" s="5"/>
      <c r="D32" s="11">
        <v>24000</v>
      </c>
      <c r="E32" s="27"/>
      <c r="F32" s="27"/>
    </row>
    <row r="33" spans="1:6">
      <c r="A33" s="18"/>
      <c r="B33" s="4" t="s">
        <v>150</v>
      </c>
      <c r="C33" s="4"/>
      <c r="D33" s="13">
        <v>30300</v>
      </c>
      <c r="E33" s="27"/>
      <c r="F33" s="27"/>
    </row>
    <row r="34" spans="1:6">
      <c r="A34" s="18"/>
      <c r="B34" s="5" t="s">
        <v>151</v>
      </c>
      <c r="C34" s="5"/>
      <c r="D34" s="11">
        <v>143</v>
      </c>
      <c r="E34" s="27"/>
      <c r="F34" s="27"/>
    </row>
    <row r="35" spans="1:6">
      <c r="A35" s="18"/>
      <c r="B35" s="5" t="s">
        <v>152</v>
      </c>
      <c r="C35" s="5"/>
      <c r="D35" s="11">
        <v>68411</v>
      </c>
      <c r="E35" s="27"/>
      <c r="F35" s="27"/>
    </row>
    <row r="36" spans="1:6">
      <c r="A36" s="18"/>
      <c r="B36" s="5" t="s">
        <v>153</v>
      </c>
      <c r="C36" s="5"/>
      <c r="D36" s="28">
        <v>40854</v>
      </c>
      <c r="E36" s="27"/>
      <c r="F36" s="27"/>
    </row>
    <row r="37" spans="1:6">
      <c r="A37" s="18"/>
      <c r="B37" s="22"/>
      <c r="C37" s="18"/>
      <c r="D37" s="18"/>
      <c r="E37" s="27"/>
      <c r="F37" s="27"/>
    </row>
    <row r="38" spans="1:6">
      <c r="A38" s="16" t="s">
        <v>154</v>
      </c>
      <c r="B38" s="16"/>
      <c r="C38" s="17"/>
      <c r="D38" s="17"/>
      <c r="E38" s="27"/>
      <c r="F38" s="27"/>
    </row>
    <row r="39" spans="1:6" ht="36">
      <c r="A39" s="18"/>
      <c r="B39" s="19" t="s">
        <v>155</v>
      </c>
      <c r="C39" s="18"/>
      <c r="D39" s="18"/>
      <c r="E39" s="27"/>
      <c r="F39" s="27"/>
    </row>
    <row r="40" spans="1:6" ht="36">
      <c r="A40" s="18"/>
      <c r="B40" s="19" t="s">
        <v>156</v>
      </c>
      <c r="C40" s="18"/>
      <c r="D40" s="18"/>
      <c r="E40" s="27"/>
      <c r="F40" s="27"/>
    </row>
    <row r="41" spans="1:6" ht="36">
      <c r="A41" s="18"/>
      <c r="B41" s="19" t="s">
        <v>157</v>
      </c>
      <c r="C41" s="18"/>
      <c r="D41" s="18"/>
      <c r="E41" s="27"/>
      <c r="F41" s="27"/>
    </row>
    <row r="42" spans="1:6">
      <c r="A42" s="18"/>
      <c r="B42" s="22"/>
      <c r="C42" s="18"/>
      <c r="D42" s="18"/>
      <c r="E42" s="27"/>
      <c r="F42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Demand_and_Case_Mix</vt:lpstr>
      <vt:lpstr>Staffing_Summary</vt:lpstr>
      <vt:lpstr>CAPEX_Summary</vt:lpstr>
      <vt:lpstr>Financial_Model</vt:lpstr>
      <vt:lpstr>Sheet1</vt:lpstr>
      <vt:lpstr>Balance_Sheet</vt:lpstr>
      <vt:lpstr>Space_Program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Thanatorn Jongkijworakul</dc:creator>
  <cp:lastModifiedBy>Thanatorn Jongkijworakul</cp:lastModifiedBy>
  <dcterms:created xsi:type="dcterms:W3CDTF">2026-08-10T05:54:56Z</dcterms:created>
  <dcterms:modified xsi:type="dcterms:W3CDTF">2026-09-14T03:35:46Z</dcterms:modified>
</cp:coreProperties>
</file>